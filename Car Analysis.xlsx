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08"/>
  <workbookPr defaultThemeVersion="166925"/>
  <xr:revisionPtr revIDLastSave="0" documentId="8_{A9CA58AB-A413-486F-9DC3-38A64F395CE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Fiesta 1.0" sheetId="3" r:id="rId1"/>
    <sheet name="Fiesta 1.6" sheetId="4" r:id="rId2"/>
  </sheets>
  <definedNames>
    <definedName name="_xlnm._FilterDatabase" localSheetId="0" hidden="1">'Fiesta 1.0'!$A$1:$L$64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4" l="1"/>
  <c r="D24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" i="4"/>
  <c r="D107" i="3"/>
  <c r="D106" i="3"/>
  <c r="D105" i="3"/>
  <c r="D83" i="3"/>
  <c r="D82" i="3"/>
  <c r="D81" i="3"/>
  <c r="D80" i="3"/>
  <c r="D79" i="3"/>
  <c r="D78" i="3"/>
  <c r="D77" i="3"/>
  <c r="D76" i="3"/>
  <c r="D75" i="3"/>
  <c r="D74" i="3"/>
  <c r="D73" i="3"/>
  <c r="D72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9" i="3"/>
  <c r="D100" i="3"/>
  <c r="D101" i="3"/>
  <c r="D102" i="3"/>
  <c r="D103" i="3"/>
  <c r="D71" i="3"/>
  <c r="D70" i="3"/>
  <c r="D68" i="3"/>
  <c r="D61" i="3"/>
  <c r="D60" i="3"/>
  <c r="D59" i="3"/>
  <c r="D58" i="3"/>
  <c r="D57" i="3"/>
  <c r="D56" i="3"/>
  <c r="D55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67" i="3"/>
  <c r="D64" i="3"/>
  <c r="D66" i="3"/>
  <c r="D63" i="3"/>
  <c r="D62" i="3"/>
  <c r="D104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54" i="3"/>
  <c r="D98" i="3"/>
  <c r="G93" i="3"/>
</calcChain>
</file>

<file path=xl/sharedStrings.xml><?xml version="1.0" encoding="utf-8"?>
<sst xmlns="http://schemas.openxmlformats.org/spreadsheetml/2006/main" count="560" uniqueCount="90">
  <si>
    <t>N° Abaste.</t>
  </si>
  <si>
    <t>Data</t>
  </si>
  <si>
    <t>Valor Pago</t>
  </si>
  <si>
    <t>Km Prox Abas</t>
  </si>
  <si>
    <t>Odômetro</t>
  </si>
  <si>
    <t>$/L.</t>
  </si>
  <si>
    <t>Litros Abastecidos</t>
  </si>
  <si>
    <t>Combustível</t>
  </si>
  <si>
    <t>Posto</t>
  </si>
  <si>
    <t>Bandeira</t>
  </si>
  <si>
    <t>Bairro/Cid.</t>
  </si>
  <si>
    <t>Km´s pos reserva</t>
  </si>
  <si>
    <t>Ethanol</t>
  </si>
  <si>
    <t>Cruzeiro do Sul</t>
  </si>
  <si>
    <t>Ipiranga</t>
  </si>
  <si>
    <t>Jadim California, Contagem</t>
  </si>
  <si>
    <t>Gasolina</t>
  </si>
  <si>
    <t>Petrobras</t>
  </si>
  <si>
    <t>Cabana, Belo Horizonte</t>
  </si>
  <si>
    <t>Norte Sul</t>
  </si>
  <si>
    <t>Cachoeirinha</t>
  </si>
  <si>
    <t>Ipiranga, Belo Horizonte</t>
  </si>
  <si>
    <t>Trancoso</t>
  </si>
  <si>
    <t>Santa Cruz, Belo Horizonte</t>
  </si>
  <si>
    <t>Reta do Jacaré</t>
  </si>
  <si>
    <t>Shell</t>
  </si>
  <si>
    <t>Vila Lourdes, Mario Campos</t>
  </si>
  <si>
    <t>Cartel</t>
  </si>
  <si>
    <t>Cidade Industrial, Contagem</t>
  </si>
  <si>
    <t>Pica Pau</t>
  </si>
  <si>
    <t>Carlos Prates, Belo Horizonte</t>
  </si>
  <si>
    <t>Arrudao</t>
  </si>
  <si>
    <t>Betânia, Belo Horizonte</t>
  </si>
  <si>
    <t>Trevão</t>
  </si>
  <si>
    <t>Veneza, Ribeirão das Neves</t>
  </si>
  <si>
    <t>Agua Branca</t>
  </si>
  <si>
    <t>Eldorado, Contagem</t>
  </si>
  <si>
    <t>Leste Oeste</t>
  </si>
  <si>
    <t>Calafate, Belo Horizonte</t>
  </si>
  <si>
    <t>Abasteca Aqui</t>
  </si>
  <si>
    <t>Barreiro, Belo Horizonte</t>
  </si>
  <si>
    <t>Paulistinha</t>
  </si>
  <si>
    <t>Lagoinha, Belo Horizonte</t>
  </si>
  <si>
    <t>Posto King</t>
  </si>
  <si>
    <t>Gameleira, Belo Horizonte</t>
  </si>
  <si>
    <t>cruzeiro do Sul</t>
  </si>
  <si>
    <t>Posto Trancoso</t>
  </si>
  <si>
    <t xml:space="preserve"> Posto NI</t>
  </si>
  <si>
    <t>NI</t>
  </si>
  <si>
    <t>Não, Identificado.</t>
  </si>
  <si>
    <t>Via Expressa</t>
  </si>
  <si>
    <t>Posto Quick</t>
  </si>
  <si>
    <t>Labareda</t>
  </si>
  <si>
    <t>Inconfidentes, Contagem</t>
  </si>
  <si>
    <t>Aditivada</t>
  </si>
  <si>
    <t>Padre Eustáquio, Belo Horizonte</t>
  </si>
  <si>
    <t>Carmênia</t>
  </si>
  <si>
    <t>Posto Shell</t>
  </si>
  <si>
    <t>Posto Ipiranga</t>
  </si>
  <si>
    <t>Padre Eustáqui, Belo Horizonte</t>
  </si>
  <si>
    <t>Posto Aqui RIcardo</t>
  </si>
  <si>
    <t xml:space="preserve">Valor </t>
  </si>
  <si>
    <t>Combustivel</t>
  </si>
  <si>
    <t>$/L</t>
  </si>
  <si>
    <t>Litros</t>
  </si>
  <si>
    <t>Odometro</t>
  </si>
  <si>
    <t>Cidade</t>
  </si>
  <si>
    <t>Completou</t>
  </si>
  <si>
    <t>Km Percorridos</t>
  </si>
  <si>
    <t>Litros Consumidos</t>
  </si>
  <si>
    <t>Autonomia</t>
  </si>
  <si>
    <t>Alcool/Gasolina</t>
  </si>
  <si>
    <t>Bauru SP</t>
  </si>
  <si>
    <t>Posto Carrefour</t>
  </si>
  <si>
    <t>SIM</t>
  </si>
  <si>
    <t>Alcool</t>
  </si>
  <si>
    <t>Outros</t>
  </si>
  <si>
    <t>Serrana SP</t>
  </si>
  <si>
    <t>Posto Colorado</t>
  </si>
  <si>
    <t>Divinopolis SP</t>
  </si>
  <si>
    <t>Posto MG050</t>
  </si>
  <si>
    <t>NAO</t>
  </si>
  <si>
    <t>Belo Horizonte MG</t>
  </si>
  <si>
    <t>Posto Carmenia</t>
  </si>
  <si>
    <t>Posto AS</t>
  </si>
  <si>
    <t>Posto MC</t>
  </si>
  <si>
    <t>Betim MG</t>
  </si>
  <si>
    <t>Posto Petroline</t>
  </si>
  <si>
    <t>Contagem MG</t>
  </si>
  <si>
    <t>Vila Amazonas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</si>
</sst>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rgb="FFFF0000"/>
      <name val="Calibri"/>
    </font>
    <font>
      <sz val="10"/>
      <color rgb="FF444444"/>
      <name val="Calibri"/>
      <scheme val="minor"/>
    </font>
    <font>
      <sz val="10"/>
      <color theme="1"/>
      <name val="Calibri"/>
      <scheme val="minor"/>
    </font>
    <font>
      <sz val="11"/>
      <color rgb="FF202124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3" xfId="0" applyBorder="1"/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6" xfId="0" applyBorder="1"/>
    <xf numFmtId="0" fontId="5" fillId="0" borderId="3" xfId="0" applyFont="1" applyBorder="1" applyAlignment="1">
      <alignment horizontal="center"/>
    </xf>
    <xf numFmtId="0" fontId="0" fillId="0" borderId="8" xfId="0" applyBorder="1" applyAlignment="1">
      <alignment horizontal="right"/>
    </xf>
    <xf numFmtId="0" fontId="4" fillId="2" borderId="5" xfId="0" applyFont="1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10" xfId="0" applyBorder="1"/>
    <xf numFmtId="1" fontId="4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8D78-9FBA-4293-90BC-5CAD3420CCA7}">
  <dimension ref="A1:L108"/>
  <sheetViews>
    <sheetView workbookViewId="0">
      <selection activeCell="K84" sqref="K84"/>
    </sheetView>
  </sheetViews>
  <sheetFormatPr defaultColWidth="9.140625" defaultRowHeight="15"/>
  <cols>
    <col min="1" max="1" width="10" customWidth="1"/>
    <col min="2" max="2" width="19.140625" customWidth="1"/>
    <col min="3" max="4" width="18" customWidth="1"/>
    <col min="5" max="5" width="10.28515625" customWidth="1"/>
    <col min="6" max="6" width="10.42578125" customWidth="1"/>
    <col min="7" max="7" width="15.28515625" bestFit="1" customWidth="1"/>
    <col min="8" max="8" width="34.5703125" customWidth="1"/>
    <col min="9" max="9" width="17.28515625" customWidth="1"/>
    <col min="10" max="10" width="14.140625" customWidth="1"/>
    <col min="11" max="11" width="28.7109375" customWidth="1"/>
    <col min="12" max="12" width="15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6" t="s">
        <v>11</v>
      </c>
    </row>
    <row r="2" spans="1:12" ht="16.5" customHeight="1">
      <c r="A2" s="2">
        <v>1</v>
      </c>
      <c r="B2" s="4">
        <v>44930</v>
      </c>
      <c r="C2" s="3">
        <v>50</v>
      </c>
      <c r="D2" s="19">
        <f>E3-E2</f>
        <v>108</v>
      </c>
      <c r="E2" s="2">
        <v>116546</v>
      </c>
      <c r="F2" s="3">
        <v>3.99</v>
      </c>
      <c r="G2" s="2">
        <v>12.53</v>
      </c>
      <c r="H2" s="2" t="s">
        <v>12</v>
      </c>
      <c r="I2" s="2" t="s">
        <v>13</v>
      </c>
      <c r="J2" s="2" t="s">
        <v>14</v>
      </c>
      <c r="K2" s="8" t="s">
        <v>15</v>
      </c>
      <c r="L2" s="9"/>
    </row>
    <row r="3" spans="1:12" ht="16.5" customHeight="1">
      <c r="A3" s="2">
        <v>2</v>
      </c>
      <c r="B3" s="4">
        <v>44932</v>
      </c>
      <c r="C3" s="3">
        <v>25</v>
      </c>
      <c r="D3" s="19">
        <f>E4-E3</f>
        <v>40</v>
      </c>
      <c r="E3" s="2">
        <v>116654</v>
      </c>
      <c r="F3" s="3">
        <v>3.99</v>
      </c>
      <c r="G3" s="2">
        <v>6.27</v>
      </c>
      <c r="H3" s="2" t="s">
        <v>12</v>
      </c>
      <c r="I3" s="2" t="s">
        <v>13</v>
      </c>
      <c r="J3" s="2" t="s">
        <v>14</v>
      </c>
      <c r="K3" s="8" t="s">
        <v>15</v>
      </c>
      <c r="L3" s="6"/>
    </row>
    <row r="4" spans="1:12" ht="16.5" customHeight="1">
      <c r="A4" s="2">
        <v>3</v>
      </c>
      <c r="B4" s="4">
        <v>44933</v>
      </c>
      <c r="C4" s="3">
        <v>50</v>
      </c>
      <c r="D4" s="19">
        <f>E5-E4</f>
        <v>80</v>
      </c>
      <c r="E4" s="2">
        <v>116694</v>
      </c>
      <c r="F4" s="3">
        <v>4.88</v>
      </c>
      <c r="G4" s="2">
        <v>10.25</v>
      </c>
      <c r="H4" s="2" t="s">
        <v>16</v>
      </c>
      <c r="I4" s="2" t="s">
        <v>13</v>
      </c>
      <c r="J4" s="2" t="s">
        <v>14</v>
      </c>
      <c r="K4" s="8" t="s">
        <v>15</v>
      </c>
      <c r="L4" s="6"/>
    </row>
    <row r="5" spans="1:12" ht="16.5" customHeight="1">
      <c r="A5" s="2">
        <v>4</v>
      </c>
      <c r="B5" s="4">
        <v>44936</v>
      </c>
      <c r="C5" s="3">
        <v>30</v>
      </c>
      <c r="D5" s="19">
        <f>E6-E5</f>
        <v>89</v>
      </c>
      <c r="E5" s="2">
        <v>116774</v>
      </c>
      <c r="F5" s="3">
        <v>4.72</v>
      </c>
      <c r="G5" s="2">
        <v>6.36</v>
      </c>
      <c r="H5" s="2" t="s">
        <v>16</v>
      </c>
      <c r="I5" s="2" t="s">
        <v>17</v>
      </c>
      <c r="J5" s="2" t="s">
        <v>17</v>
      </c>
      <c r="K5" s="8" t="s">
        <v>18</v>
      </c>
      <c r="L5" s="6"/>
    </row>
    <row r="6" spans="1:12">
      <c r="A6" s="2">
        <v>5</v>
      </c>
      <c r="B6" s="4">
        <v>44938</v>
      </c>
      <c r="C6" s="3">
        <v>30</v>
      </c>
      <c r="D6" s="19">
        <f>E7-E6</f>
        <v>27</v>
      </c>
      <c r="E6" s="2">
        <v>116863</v>
      </c>
      <c r="F6" s="3">
        <v>4.8899999999999997</v>
      </c>
      <c r="G6" s="2">
        <v>6.13</v>
      </c>
      <c r="H6" s="2" t="s">
        <v>16</v>
      </c>
      <c r="I6" s="2" t="s">
        <v>19</v>
      </c>
      <c r="J6" s="2" t="s">
        <v>17</v>
      </c>
      <c r="K6" s="8" t="s">
        <v>15</v>
      </c>
      <c r="L6" s="6"/>
    </row>
    <row r="7" spans="1:12" ht="16.5" customHeight="1">
      <c r="A7" s="2">
        <v>6</v>
      </c>
      <c r="B7" s="4">
        <v>44940</v>
      </c>
      <c r="C7" s="3">
        <v>50</v>
      </c>
      <c r="D7" s="19">
        <f>E8-E7</f>
        <v>124</v>
      </c>
      <c r="E7" s="2">
        <v>116890</v>
      </c>
      <c r="F7" s="3">
        <v>3.54</v>
      </c>
      <c r="G7" s="2">
        <v>14.12</v>
      </c>
      <c r="H7" s="2" t="s">
        <v>12</v>
      </c>
      <c r="I7" s="2" t="s">
        <v>17</v>
      </c>
      <c r="J7" s="2" t="s">
        <v>17</v>
      </c>
      <c r="K7" s="8" t="s">
        <v>18</v>
      </c>
      <c r="L7" s="6"/>
    </row>
    <row r="8" spans="1:12" ht="16.5" customHeight="1">
      <c r="A8" s="2">
        <v>7</v>
      </c>
      <c r="B8" s="4">
        <v>44973</v>
      </c>
      <c r="C8" s="3">
        <v>163.61000000000001</v>
      </c>
      <c r="D8" s="19">
        <f>E9-E8</f>
        <v>158</v>
      </c>
      <c r="E8" s="2">
        <v>117014</v>
      </c>
      <c r="F8" s="3">
        <v>3.89</v>
      </c>
      <c r="G8" s="2">
        <v>42.06</v>
      </c>
      <c r="H8" s="2" t="s">
        <v>12</v>
      </c>
      <c r="I8" s="2" t="s">
        <v>20</v>
      </c>
      <c r="J8" s="2" t="s">
        <v>17</v>
      </c>
      <c r="K8" s="8" t="s">
        <v>21</v>
      </c>
      <c r="L8" s="6"/>
    </row>
    <row r="9" spans="1:12" ht="16.5" customHeight="1">
      <c r="A9" s="2">
        <v>8</v>
      </c>
      <c r="B9" s="4">
        <v>44945</v>
      </c>
      <c r="C9" s="3">
        <v>65</v>
      </c>
      <c r="D9" s="19">
        <f>E10-E9</f>
        <v>229</v>
      </c>
      <c r="E9" s="2">
        <v>117172</v>
      </c>
      <c r="F9" s="3">
        <v>4.75</v>
      </c>
      <c r="G9" s="2">
        <v>13.68</v>
      </c>
      <c r="H9" s="2" t="s">
        <v>16</v>
      </c>
      <c r="I9" s="2" t="s">
        <v>22</v>
      </c>
      <c r="J9" s="2" t="s">
        <v>17</v>
      </c>
      <c r="K9" s="8" t="s">
        <v>23</v>
      </c>
      <c r="L9" s="6"/>
    </row>
    <row r="10" spans="1:12" ht="16.5" customHeight="1">
      <c r="A10" s="2">
        <v>9</v>
      </c>
      <c r="B10" s="4">
        <v>44948</v>
      </c>
      <c r="C10" s="3">
        <v>50</v>
      </c>
      <c r="D10" s="19">
        <f>E11-E10</f>
        <v>101</v>
      </c>
      <c r="E10" s="2">
        <v>117401</v>
      </c>
      <c r="F10" s="3">
        <v>5.22</v>
      </c>
      <c r="G10" s="2">
        <v>9.58</v>
      </c>
      <c r="H10" s="2" t="s">
        <v>16</v>
      </c>
      <c r="I10" s="2" t="s">
        <v>24</v>
      </c>
      <c r="J10" s="2" t="s">
        <v>25</v>
      </c>
      <c r="K10" s="8" t="s">
        <v>26</v>
      </c>
      <c r="L10" s="6"/>
    </row>
    <row r="11" spans="1:12" ht="16.5" customHeight="1">
      <c r="A11" s="2">
        <v>10</v>
      </c>
      <c r="B11" s="4">
        <v>44949</v>
      </c>
      <c r="C11" s="3">
        <v>40</v>
      </c>
      <c r="D11" s="19">
        <f>E12-E11</f>
        <v>74</v>
      </c>
      <c r="E11" s="2">
        <v>117502</v>
      </c>
      <c r="F11" s="3">
        <v>3.99</v>
      </c>
      <c r="G11" s="2">
        <v>10.029999999999999</v>
      </c>
      <c r="H11" s="2" t="s">
        <v>12</v>
      </c>
      <c r="I11" s="2" t="s">
        <v>24</v>
      </c>
      <c r="J11" s="2" t="s">
        <v>25</v>
      </c>
      <c r="K11" s="8" t="s">
        <v>26</v>
      </c>
      <c r="L11" s="6"/>
    </row>
    <row r="12" spans="1:12" ht="16.5" customHeight="1">
      <c r="A12" s="2">
        <v>11</v>
      </c>
      <c r="B12" s="4">
        <v>44954</v>
      </c>
      <c r="C12" s="3">
        <v>50</v>
      </c>
      <c r="D12" s="19">
        <f>E13-E12</f>
        <v>315</v>
      </c>
      <c r="E12" s="2">
        <v>117576</v>
      </c>
      <c r="F12" s="3">
        <v>3.71</v>
      </c>
      <c r="G12" s="2">
        <v>13.48</v>
      </c>
      <c r="H12" s="2" t="s">
        <v>12</v>
      </c>
      <c r="I12" s="2" t="s">
        <v>24</v>
      </c>
      <c r="J12" s="2" t="s">
        <v>25</v>
      </c>
      <c r="K12" s="8" t="s">
        <v>26</v>
      </c>
      <c r="L12" s="6"/>
    </row>
    <row r="13" spans="1:12" ht="16.5" customHeight="1">
      <c r="A13" s="2">
        <v>12</v>
      </c>
      <c r="B13" s="4">
        <v>44955</v>
      </c>
      <c r="C13" s="3">
        <v>100</v>
      </c>
      <c r="D13" s="19">
        <f>E14-E13</f>
        <v>175</v>
      </c>
      <c r="E13" s="2">
        <v>117891</v>
      </c>
      <c r="F13" s="3">
        <v>3.75</v>
      </c>
      <c r="G13" s="2">
        <v>26.67</v>
      </c>
      <c r="H13" s="2" t="s">
        <v>12</v>
      </c>
      <c r="I13" s="2" t="s">
        <v>27</v>
      </c>
      <c r="J13" s="2" t="s">
        <v>14</v>
      </c>
      <c r="K13" s="8" t="s">
        <v>28</v>
      </c>
      <c r="L13" s="6"/>
    </row>
    <row r="14" spans="1:12" ht="16.5" customHeight="1">
      <c r="A14" s="2">
        <v>13</v>
      </c>
      <c r="B14" s="4">
        <v>44965</v>
      </c>
      <c r="C14" s="3">
        <v>40</v>
      </c>
      <c r="D14" s="19">
        <f>E15-E14</f>
        <v>98</v>
      </c>
      <c r="E14" s="2">
        <v>118066</v>
      </c>
      <c r="F14" s="3">
        <v>3.77</v>
      </c>
      <c r="G14" s="2">
        <v>10.61</v>
      </c>
      <c r="H14" s="2" t="s">
        <v>12</v>
      </c>
      <c r="I14" s="2" t="s">
        <v>13</v>
      </c>
      <c r="J14" s="2" t="s">
        <v>14</v>
      </c>
      <c r="K14" s="8" t="s">
        <v>15</v>
      </c>
      <c r="L14" s="6"/>
    </row>
    <row r="15" spans="1:12" ht="16.5" customHeight="1">
      <c r="A15" s="2">
        <v>14</v>
      </c>
      <c r="B15" s="4">
        <v>44967</v>
      </c>
      <c r="C15" s="3">
        <v>50</v>
      </c>
      <c r="D15" s="19">
        <f>E16-E15</f>
        <v>100</v>
      </c>
      <c r="E15" s="2">
        <v>118164</v>
      </c>
      <c r="F15" s="3">
        <v>3.77</v>
      </c>
      <c r="G15" s="2">
        <v>13.26</v>
      </c>
      <c r="H15" s="2" t="s">
        <v>12</v>
      </c>
      <c r="I15" s="2" t="s">
        <v>13</v>
      </c>
      <c r="J15" s="2" t="s">
        <v>14</v>
      </c>
      <c r="K15" s="8" t="s">
        <v>15</v>
      </c>
      <c r="L15" s="6"/>
    </row>
    <row r="16" spans="1:12" ht="16.5" customHeight="1">
      <c r="A16" s="2">
        <v>15</v>
      </c>
      <c r="B16" s="4">
        <v>44968</v>
      </c>
      <c r="C16" s="3">
        <v>60</v>
      </c>
      <c r="D16" s="19">
        <f>E17-E16</f>
        <v>85</v>
      </c>
      <c r="E16" s="2">
        <v>118264</v>
      </c>
      <c r="F16" s="3">
        <v>4.88</v>
      </c>
      <c r="G16" s="2">
        <v>12.3</v>
      </c>
      <c r="H16" s="2" t="s">
        <v>16</v>
      </c>
      <c r="I16" s="2" t="s">
        <v>13</v>
      </c>
      <c r="J16" s="2" t="s">
        <v>14</v>
      </c>
      <c r="K16" s="8" t="s">
        <v>15</v>
      </c>
      <c r="L16" s="6"/>
    </row>
    <row r="17" spans="1:12" ht="16.5" customHeight="1">
      <c r="A17" s="2">
        <v>16</v>
      </c>
      <c r="B17" s="4">
        <v>44971</v>
      </c>
      <c r="C17" s="3">
        <v>30</v>
      </c>
      <c r="D17" s="19">
        <f>E18-E17</f>
        <v>348</v>
      </c>
      <c r="E17" s="2">
        <v>118349</v>
      </c>
      <c r="F17" s="3">
        <v>3.77</v>
      </c>
      <c r="G17" s="2">
        <v>7.96</v>
      </c>
      <c r="H17" s="2" t="s">
        <v>12</v>
      </c>
      <c r="I17" s="2" t="s">
        <v>13</v>
      </c>
      <c r="J17" s="2" t="s">
        <v>14</v>
      </c>
      <c r="K17" s="8" t="s">
        <v>15</v>
      </c>
      <c r="L17" s="6"/>
    </row>
    <row r="18" spans="1:12" ht="16.5" customHeight="1">
      <c r="A18" s="2">
        <v>17</v>
      </c>
      <c r="B18" s="4">
        <v>44985.757638888892</v>
      </c>
      <c r="C18" s="3">
        <v>60</v>
      </c>
      <c r="D18" s="19">
        <f>E19-E18</f>
        <v>98</v>
      </c>
      <c r="E18" s="2">
        <v>118697</v>
      </c>
      <c r="F18" s="3">
        <v>4.99</v>
      </c>
      <c r="G18" s="2">
        <v>12.02</v>
      </c>
      <c r="H18" s="2" t="s">
        <v>16</v>
      </c>
      <c r="I18" s="2" t="s">
        <v>13</v>
      </c>
      <c r="J18" s="2" t="s">
        <v>14</v>
      </c>
      <c r="K18" s="8" t="s">
        <v>15</v>
      </c>
      <c r="L18" s="6"/>
    </row>
    <row r="19" spans="1:12" ht="16.5" customHeight="1">
      <c r="A19" s="2">
        <v>18</v>
      </c>
      <c r="B19" s="4">
        <v>44987.694444444445</v>
      </c>
      <c r="C19" s="3">
        <v>50</v>
      </c>
      <c r="D19" s="19">
        <f>E20-E19</f>
        <v>86</v>
      </c>
      <c r="E19" s="2">
        <v>118795</v>
      </c>
      <c r="F19" s="3">
        <v>3.99</v>
      </c>
      <c r="G19" s="2">
        <v>11.39</v>
      </c>
      <c r="H19" s="2" t="s">
        <v>12</v>
      </c>
      <c r="I19" s="2" t="s">
        <v>29</v>
      </c>
      <c r="J19" s="2" t="s">
        <v>25</v>
      </c>
      <c r="K19" s="8" t="s">
        <v>30</v>
      </c>
      <c r="L19" s="6"/>
    </row>
    <row r="20" spans="1:12" ht="16.5" customHeight="1">
      <c r="A20" s="2">
        <v>19</v>
      </c>
      <c r="B20" s="4">
        <v>44989.570138888892</v>
      </c>
      <c r="C20" s="3">
        <v>30</v>
      </c>
      <c r="D20" s="19">
        <f>E21-E20</f>
        <v>55</v>
      </c>
      <c r="E20" s="2">
        <v>118881</v>
      </c>
      <c r="F20" s="3">
        <v>3.88</v>
      </c>
      <c r="G20" s="2">
        <v>7.73</v>
      </c>
      <c r="H20" s="2" t="s">
        <v>12</v>
      </c>
      <c r="I20" s="2" t="s">
        <v>13</v>
      </c>
      <c r="J20" s="2" t="s">
        <v>14</v>
      </c>
      <c r="K20" s="8" t="s">
        <v>15</v>
      </c>
      <c r="L20" s="6"/>
    </row>
    <row r="21" spans="1:12" ht="16.5" customHeight="1">
      <c r="A21" s="2">
        <v>20</v>
      </c>
      <c r="B21" s="4">
        <v>44990.340277777781</v>
      </c>
      <c r="C21" s="3">
        <v>40</v>
      </c>
      <c r="D21" s="19">
        <f>E22-E21</f>
        <v>86</v>
      </c>
      <c r="E21" s="2">
        <v>118936</v>
      </c>
      <c r="F21" s="3">
        <v>3.88</v>
      </c>
      <c r="G21" s="2">
        <v>10.3</v>
      </c>
      <c r="H21" s="2" t="s">
        <v>12</v>
      </c>
      <c r="I21" s="2" t="s">
        <v>13</v>
      </c>
      <c r="J21" s="2" t="s">
        <v>14</v>
      </c>
      <c r="K21" s="8" t="s">
        <v>15</v>
      </c>
      <c r="L21" s="6"/>
    </row>
    <row r="22" spans="1:12" ht="16.5" customHeight="1">
      <c r="A22" s="2">
        <v>21</v>
      </c>
      <c r="B22" s="4">
        <v>44992.751388888886</v>
      </c>
      <c r="C22" s="3">
        <v>30</v>
      </c>
      <c r="D22" s="19">
        <f>E23-E22</f>
        <v>64</v>
      </c>
      <c r="E22" s="2">
        <v>119022</v>
      </c>
      <c r="F22" s="3">
        <v>3.88</v>
      </c>
      <c r="G22" s="2">
        <v>7.31</v>
      </c>
      <c r="H22" s="2" t="s">
        <v>12</v>
      </c>
      <c r="I22" s="2" t="s">
        <v>13</v>
      </c>
      <c r="J22" s="2" t="s">
        <v>14</v>
      </c>
      <c r="K22" s="8" t="s">
        <v>15</v>
      </c>
      <c r="L22" s="6"/>
    </row>
    <row r="23" spans="1:12" ht="16.5" customHeight="1">
      <c r="A23" s="2">
        <v>22</v>
      </c>
      <c r="B23" s="4">
        <v>44993.774305555555</v>
      </c>
      <c r="C23" s="3">
        <v>40</v>
      </c>
      <c r="D23" s="19">
        <f>E24-E23</f>
        <v>82</v>
      </c>
      <c r="E23" s="2">
        <v>119086</v>
      </c>
      <c r="F23" s="3">
        <v>3.85</v>
      </c>
      <c r="G23" s="2">
        <v>10.38</v>
      </c>
      <c r="H23" s="2" t="s">
        <v>12</v>
      </c>
      <c r="I23" s="2" t="s">
        <v>31</v>
      </c>
      <c r="J23" s="2" t="s">
        <v>17</v>
      </c>
      <c r="K23" s="8" t="s">
        <v>32</v>
      </c>
      <c r="L23" s="6"/>
    </row>
    <row r="24" spans="1:12" ht="16.5" customHeight="1">
      <c r="A24" s="2">
        <v>23</v>
      </c>
      <c r="B24" s="4">
        <v>44995.604861111111</v>
      </c>
      <c r="C24" s="3">
        <v>50</v>
      </c>
      <c r="D24" s="19">
        <f>E25-E24</f>
        <v>95</v>
      </c>
      <c r="E24" s="2">
        <v>119168</v>
      </c>
      <c r="F24" s="3">
        <v>3.85</v>
      </c>
      <c r="G24" s="2">
        <v>12.87</v>
      </c>
      <c r="H24" s="2" t="s">
        <v>12</v>
      </c>
      <c r="I24" s="2" t="s">
        <v>31</v>
      </c>
      <c r="J24" s="2" t="s">
        <v>17</v>
      </c>
      <c r="K24" s="8" t="s">
        <v>32</v>
      </c>
      <c r="L24" s="6"/>
    </row>
    <row r="25" spans="1:12" ht="16.5" customHeight="1">
      <c r="A25" s="2">
        <v>24</v>
      </c>
      <c r="B25" s="4">
        <v>44998.683333333334</v>
      </c>
      <c r="C25" s="3">
        <v>50</v>
      </c>
      <c r="D25" s="19">
        <f>E26-E25</f>
        <v>59</v>
      </c>
      <c r="E25" s="2">
        <v>119263</v>
      </c>
      <c r="F25" s="3">
        <v>3.75</v>
      </c>
      <c r="G25" s="2">
        <v>8</v>
      </c>
      <c r="H25" s="2" t="s">
        <v>12</v>
      </c>
      <c r="I25" s="2" t="s">
        <v>31</v>
      </c>
      <c r="J25" s="2" t="s">
        <v>17</v>
      </c>
      <c r="K25" s="8" t="s">
        <v>32</v>
      </c>
      <c r="L25" s="6"/>
    </row>
    <row r="26" spans="1:12" ht="16.5" customHeight="1">
      <c r="A26" s="2">
        <v>25</v>
      </c>
      <c r="B26" s="4">
        <v>45000.337500000001</v>
      </c>
      <c r="C26" s="3">
        <v>50</v>
      </c>
      <c r="D26" s="19">
        <f>E27-E26</f>
        <v>44</v>
      </c>
      <c r="E26" s="2">
        <v>119322</v>
      </c>
      <c r="F26" s="3">
        <v>3.84</v>
      </c>
      <c r="G26" s="2">
        <v>13.02</v>
      </c>
      <c r="H26" s="2" t="s">
        <v>12</v>
      </c>
      <c r="I26" s="2" t="s">
        <v>13</v>
      </c>
      <c r="J26" s="2" t="s">
        <v>14</v>
      </c>
      <c r="K26" s="8" t="s">
        <v>15</v>
      </c>
      <c r="L26" s="6"/>
    </row>
    <row r="27" spans="1:12" ht="16.5" customHeight="1">
      <c r="A27" s="2">
        <v>26</v>
      </c>
      <c r="B27" s="4">
        <v>45002.595833333333</v>
      </c>
      <c r="C27" s="3">
        <v>100</v>
      </c>
      <c r="D27" s="19">
        <f>E28-E27</f>
        <v>240</v>
      </c>
      <c r="E27" s="2">
        <v>119366</v>
      </c>
      <c r="F27" s="3">
        <v>3.79</v>
      </c>
      <c r="G27" s="2">
        <v>26.38</v>
      </c>
      <c r="H27" s="2" t="s">
        <v>12</v>
      </c>
      <c r="I27" s="2" t="s">
        <v>13</v>
      </c>
      <c r="J27" s="2" t="s">
        <v>14</v>
      </c>
      <c r="K27" s="8" t="s">
        <v>15</v>
      </c>
      <c r="L27" s="6"/>
    </row>
    <row r="28" spans="1:12" ht="16.5" customHeight="1">
      <c r="A28" s="2">
        <v>27</v>
      </c>
      <c r="B28" s="4">
        <v>45004.816666666666</v>
      </c>
      <c r="C28" s="3">
        <v>50</v>
      </c>
      <c r="D28" s="19">
        <f>E29-E28</f>
        <v>136</v>
      </c>
      <c r="E28" s="2">
        <v>119606</v>
      </c>
      <c r="F28" s="3">
        <v>3.88</v>
      </c>
      <c r="G28" s="2">
        <v>12.88</v>
      </c>
      <c r="H28" s="2" t="s">
        <v>12</v>
      </c>
      <c r="I28" s="2" t="s">
        <v>33</v>
      </c>
      <c r="J28" s="2" t="s">
        <v>17</v>
      </c>
      <c r="K28" s="8" t="s">
        <v>34</v>
      </c>
      <c r="L28" s="6"/>
    </row>
    <row r="29" spans="1:12" ht="16.5" customHeight="1">
      <c r="A29" s="2">
        <v>28</v>
      </c>
      <c r="B29" s="4">
        <v>45007.856249999997</v>
      </c>
      <c r="C29" s="3">
        <v>50</v>
      </c>
      <c r="D29" s="19">
        <f>E30-E29</f>
        <v>106</v>
      </c>
      <c r="E29" s="2">
        <v>119742</v>
      </c>
      <c r="F29" s="3">
        <v>3.69</v>
      </c>
      <c r="G29" s="2">
        <v>13.55</v>
      </c>
      <c r="H29" s="2" t="s">
        <v>12</v>
      </c>
      <c r="I29" s="2" t="s">
        <v>29</v>
      </c>
      <c r="J29" s="2" t="s">
        <v>25</v>
      </c>
      <c r="K29" s="8" t="s">
        <v>30</v>
      </c>
      <c r="L29" s="6"/>
    </row>
    <row r="30" spans="1:12">
      <c r="A30" s="2">
        <v>29</v>
      </c>
      <c r="B30" s="4">
        <v>45014.335416666669</v>
      </c>
      <c r="C30" s="3">
        <v>30</v>
      </c>
      <c r="D30" s="19">
        <f>E31-E30</f>
        <v>59</v>
      </c>
      <c r="E30" s="2">
        <v>119848</v>
      </c>
      <c r="F30" s="3">
        <v>3.69</v>
      </c>
      <c r="G30" s="2">
        <v>8.1300000000000008</v>
      </c>
      <c r="H30" s="2" t="s">
        <v>12</v>
      </c>
      <c r="I30" s="2" t="s">
        <v>13</v>
      </c>
      <c r="J30" s="2" t="s">
        <v>14</v>
      </c>
      <c r="K30" s="8" t="s">
        <v>15</v>
      </c>
      <c r="L30" s="6"/>
    </row>
    <row r="31" spans="1:12">
      <c r="A31" s="2">
        <v>30</v>
      </c>
      <c r="B31" s="4">
        <v>45016.670138888891</v>
      </c>
      <c r="C31" s="3">
        <v>25</v>
      </c>
      <c r="D31" s="19">
        <f>E32-E31</f>
        <v>20</v>
      </c>
      <c r="E31" s="2">
        <v>119907</v>
      </c>
      <c r="F31" s="3">
        <v>3.69</v>
      </c>
      <c r="G31" s="2">
        <v>6.77</v>
      </c>
      <c r="H31" s="2" t="s">
        <v>12</v>
      </c>
      <c r="I31" s="2" t="s">
        <v>13</v>
      </c>
      <c r="J31" s="2" t="s">
        <v>14</v>
      </c>
      <c r="K31" s="8" t="s">
        <v>15</v>
      </c>
      <c r="L31" s="6"/>
    </row>
    <row r="32" spans="1:12">
      <c r="A32" s="2">
        <v>31</v>
      </c>
      <c r="B32" s="4">
        <v>45017.626388888886</v>
      </c>
      <c r="C32" s="3">
        <v>50</v>
      </c>
      <c r="D32" s="19">
        <f>E33-E32</f>
        <v>148</v>
      </c>
      <c r="E32" s="2">
        <v>119927</v>
      </c>
      <c r="F32" s="3">
        <v>3.69</v>
      </c>
      <c r="G32" s="2">
        <v>13.55</v>
      </c>
      <c r="H32" s="2" t="s">
        <v>12</v>
      </c>
      <c r="I32" s="2" t="s">
        <v>13</v>
      </c>
      <c r="J32" s="2" t="s">
        <v>14</v>
      </c>
      <c r="K32" s="8" t="s">
        <v>15</v>
      </c>
      <c r="L32" s="6"/>
    </row>
    <row r="33" spans="1:12">
      <c r="A33" s="2">
        <v>32</v>
      </c>
      <c r="B33" s="4">
        <v>45029.628472222219</v>
      </c>
      <c r="C33" s="3">
        <v>20</v>
      </c>
      <c r="D33" s="19">
        <f>E34-E33</f>
        <v>3</v>
      </c>
      <c r="E33" s="2">
        <v>120075</v>
      </c>
      <c r="F33" s="3">
        <v>3.92</v>
      </c>
      <c r="G33" s="2">
        <v>5.0999999999999996</v>
      </c>
      <c r="H33" s="2" t="s">
        <v>12</v>
      </c>
      <c r="I33" s="2" t="s">
        <v>35</v>
      </c>
      <c r="J33" s="2" t="s">
        <v>17</v>
      </c>
      <c r="K33" s="8" t="s">
        <v>36</v>
      </c>
      <c r="L33" s="6"/>
    </row>
    <row r="34" spans="1:12">
      <c r="A34" s="2">
        <v>33</v>
      </c>
      <c r="B34" s="4">
        <v>45029.631944444445</v>
      </c>
      <c r="C34" s="3">
        <v>30</v>
      </c>
      <c r="D34" s="19">
        <f>E35-E34</f>
        <v>54</v>
      </c>
      <c r="E34" s="2">
        <v>120078</v>
      </c>
      <c r="F34" s="3">
        <v>3.89</v>
      </c>
      <c r="G34" s="2">
        <v>7.71</v>
      </c>
      <c r="H34" s="2" t="s">
        <v>12</v>
      </c>
      <c r="I34" s="2" t="s">
        <v>13</v>
      </c>
      <c r="J34" s="2" t="s">
        <v>14</v>
      </c>
      <c r="K34" s="8" t="s">
        <v>15</v>
      </c>
      <c r="L34" s="6"/>
    </row>
    <row r="35" spans="1:12">
      <c r="A35" s="2">
        <v>34</v>
      </c>
      <c r="B35" s="4">
        <v>45032.393750000003</v>
      </c>
      <c r="C35" s="3">
        <v>50</v>
      </c>
      <c r="D35" s="19">
        <f>E36-E35</f>
        <v>84</v>
      </c>
      <c r="E35" s="2">
        <v>120132</v>
      </c>
      <c r="F35" s="3">
        <v>5.19</v>
      </c>
      <c r="G35" s="2">
        <v>9.6300000000000008</v>
      </c>
      <c r="H35" s="2" t="s">
        <v>16</v>
      </c>
      <c r="I35" s="2" t="s">
        <v>13</v>
      </c>
      <c r="J35" s="2" t="s">
        <v>14</v>
      </c>
      <c r="K35" s="8" t="s">
        <v>15</v>
      </c>
      <c r="L35" s="6"/>
    </row>
    <row r="36" spans="1:12">
      <c r="A36" s="2">
        <v>35</v>
      </c>
      <c r="B36" s="4">
        <v>45034.773611111108</v>
      </c>
      <c r="C36" s="3">
        <v>30</v>
      </c>
      <c r="D36" s="19">
        <f>E37-E36</f>
        <v>63</v>
      </c>
      <c r="E36" s="2">
        <v>120216</v>
      </c>
      <c r="F36" s="3">
        <v>3.98</v>
      </c>
      <c r="G36" s="2">
        <v>7.51</v>
      </c>
      <c r="H36" s="2" t="s">
        <v>12</v>
      </c>
      <c r="I36" s="2" t="s">
        <v>13</v>
      </c>
      <c r="J36" s="2" t="s">
        <v>14</v>
      </c>
      <c r="K36" s="8" t="s">
        <v>15</v>
      </c>
      <c r="L36" s="6"/>
    </row>
    <row r="37" spans="1:12">
      <c r="A37" s="2">
        <v>36</v>
      </c>
      <c r="B37" s="4">
        <v>45036.839583333334</v>
      </c>
      <c r="C37" s="3">
        <v>30</v>
      </c>
      <c r="D37" s="19">
        <f>E38-E37</f>
        <v>58</v>
      </c>
      <c r="E37" s="2">
        <v>120279</v>
      </c>
      <c r="F37" s="3">
        <v>3.98</v>
      </c>
      <c r="G37" s="2">
        <v>7.51</v>
      </c>
      <c r="H37" s="2" t="s">
        <v>12</v>
      </c>
      <c r="I37" s="2" t="s">
        <v>13</v>
      </c>
      <c r="J37" s="2" t="s">
        <v>14</v>
      </c>
      <c r="K37" s="8" t="s">
        <v>15</v>
      </c>
      <c r="L37" s="6"/>
    </row>
    <row r="38" spans="1:12">
      <c r="A38" s="2">
        <v>37</v>
      </c>
      <c r="B38" s="4">
        <v>45041.760416666664</v>
      </c>
      <c r="C38" s="3">
        <v>50</v>
      </c>
      <c r="D38" s="19">
        <f>E39-E38</f>
        <v>94</v>
      </c>
      <c r="E38" s="2">
        <v>120337</v>
      </c>
      <c r="F38" s="3">
        <v>3.99</v>
      </c>
      <c r="G38" s="2">
        <v>12.53</v>
      </c>
      <c r="H38" s="2" t="s">
        <v>12</v>
      </c>
      <c r="I38" s="2" t="s">
        <v>37</v>
      </c>
      <c r="J38" s="2" t="s">
        <v>17</v>
      </c>
      <c r="K38" s="8" t="s">
        <v>38</v>
      </c>
      <c r="L38" s="6"/>
    </row>
    <row r="39" spans="1:12">
      <c r="A39" s="2">
        <v>38</v>
      </c>
      <c r="B39" s="4">
        <v>45043.834027777775</v>
      </c>
      <c r="C39" s="3">
        <v>30</v>
      </c>
      <c r="D39" s="19">
        <f>E40-E39</f>
        <v>40</v>
      </c>
      <c r="E39" s="2">
        <v>120431</v>
      </c>
      <c r="F39" s="3">
        <v>4.1900000000000004</v>
      </c>
      <c r="G39" s="2">
        <v>7.15</v>
      </c>
      <c r="H39" s="2" t="s">
        <v>12</v>
      </c>
      <c r="I39" s="2" t="s">
        <v>13</v>
      </c>
      <c r="J39" s="2" t="s">
        <v>14</v>
      </c>
      <c r="K39" s="8" t="s">
        <v>15</v>
      </c>
      <c r="L39" s="6"/>
    </row>
    <row r="40" spans="1:12">
      <c r="A40" s="2">
        <v>39</v>
      </c>
      <c r="B40" s="4">
        <v>45045.410416666666</v>
      </c>
      <c r="C40" s="3">
        <v>30</v>
      </c>
      <c r="D40" s="19">
        <f>E41-E40</f>
        <v>22</v>
      </c>
      <c r="E40" s="2">
        <v>120471</v>
      </c>
      <c r="F40" s="3">
        <v>4.1900000000000004</v>
      </c>
      <c r="G40" s="2">
        <v>7.59</v>
      </c>
      <c r="H40" s="2" t="s">
        <v>12</v>
      </c>
      <c r="I40" s="2" t="s">
        <v>13</v>
      </c>
      <c r="J40" s="2" t="s">
        <v>14</v>
      </c>
      <c r="K40" s="8" t="s">
        <v>15</v>
      </c>
      <c r="L40" s="6"/>
    </row>
    <row r="41" spans="1:12">
      <c r="A41" s="2">
        <v>40</v>
      </c>
      <c r="B41" s="4">
        <v>45046</v>
      </c>
      <c r="C41" s="3">
        <v>70</v>
      </c>
      <c r="D41" s="19">
        <f>E42-E41</f>
        <v>225</v>
      </c>
      <c r="E41" s="2">
        <v>120493</v>
      </c>
      <c r="F41" s="3">
        <v>4.1900000000000004</v>
      </c>
      <c r="G41" s="2">
        <v>17.7</v>
      </c>
      <c r="H41" s="2" t="s">
        <v>12</v>
      </c>
      <c r="I41" s="2" t="s">
        <v>13</v>
      </c>
      <c r="J41" s="2" t="s">
        <v>14</v>
      </c>
      <c r="K41" s="8" t="s">
        <v>15</v>
      </c>
      <c r="L41" s="6"/>
    </row>
    <row r="42" spans="1:12">
      <c r="A42" s="2">
        <v>41</v>
      </c>
      <c r="B42" s="4">
        <v>45051</v>
      </c>
      <c r="C42" s="3">
        <v>100</v>
      </c>
      <c r="D42" s="19">
        <f>E43-E42</f>
        <v>219</v>
      </c>
      <c r="E42" s="2">
        <v>120718</v>
      </c>
      <c r="F42" s="3">
        <v>3.99</v>
      </c>
      <c r="G42" s="2">
        <v>25.06</v>
      </c>
      <c r="H42" s="2" t="s">
        <v>12</v>
      </c>
      <c r="I42" s="2" t="s">
        <v>13</v>
      </c>
      <c r="J42" s="2" t="s">
        <v>14</v>
      </c>
      <c r="K42" s="8" t="s">
        <v>15</v>
      </c>
      <c r="L42" s="6"/>
    </row>
    <row r="43" spans="1:12">
      <c r="A43" s="2">
        <v>42</v>
      </c>
      <c r="B43" s="4">
        <v>45056</v>
      </c>
      <c r="C43" s="3">
        <v>30</v>
      </c>
      <c r="D43" s="19">
        <f>E44-E43</f>
        <v>45</v>
      </c>
      <c r="E43" s="2">
        <v>120937</v>
      </c>
      <c r="F43" s="3">
        <v>3.99</v>
      </c>
      <c r="G43" s="2">
        <v>7.51</v>
      </c>
      <c r="H43" s="2" t="s">
        <v>12</v>
      </c>
      <c r="I43" s="2" t="s">
        <v>13</v>
      </c>
      <c r="J43" s="2" t="s">
        <v>14</v>
      </c>
      <c r="K43" s="8" t="s">
        <v>15</v>
      </c>
      <c r="L43" s="6"/>
    </row>
    <row r="44" spans="1:12">
      <c r="A44" s="2">
        <v>43</v>
      </c>
      <c r="B44" s="4">
        <v>45057</v>
      </c>
      <c r="C44" s="3">
        <v>40</v>
      </c>
      <c r="D44" s="19">
        <f>E45-E44</f>
        <v>41</v>
      </c>
      <c r="E44" s="2">
        <v>120982</v>
      </c>
      <c r="F44" s="3">
        <v>3.87</v>
      </c>
      <c r="G44" s="2">
        <v>10.33</v>
      </c>
      <c r="H44" s="2" t="s">
        <v>12</v>
      </c>
      <c r="I44" s="2" t="s">
        <v>13</v>
      </c>
      <c r="J44" s="2" t="s">
        <v>14</v>
      </c>
      <c r="K44" s="8" t="s">
        <v>15</v>
      </c>
      <c r="L44" s="6"/>
    </row>
    <row r="45" spans="1:12">
      <c r="A45" s="2">
        <v>44</v>
      </c>
      <c r="B45" s="4">
        <v>45058</v>
      </c>
      <c r="C45" s="3">
        <v>30</v>
      </c>
      <c r="D45" s="19">
        <f>E46-E45</f>
        <v>97</v>
      </c>
      <c r="E45" s="2">
        <v>121023</v>
      </c>
      <c r="F45" s="3">
        <v>3.87</v>
      </c>
      <c r="G45" s="2">
        <v>7.75</v>
      </c>
      <c r="H45" s="2" t="s">
        <v>12</v>
      </c>
      <c r="I45" s="2" t="s">
        <v>39</v>
      </c>
      <c r="J45" s="2" t="s">
        <v>25</v>
      </c>
      <c r="K45" s="8" t="s">
        <v>40</v>
      </c>
      <c r="L45" s="6"/>
    </row>
    <row r="46" spans="1:12">
      <c r="A46" s="2">
        <v>45</v>
      </c>
      <c r="B46" s="4">
        <v>45061</v>
      </c>
      <c r="C46" s="3">
        <v>30</v>
      </c>
      <c r="D46" s="19">
        <f>E47-E46</f>
        <v>56</v>
      </c>
      <c r="E46" s="2">
        <v>121120</v>
      </c>
      <c r="F46" s="3">
        <v>3.87</v>
      </c>
      <c r="G46" s="2">
        <v>7.75</v>
      </c>
      <c r="H46" s="2" t="s">
        <v>12</v>
      </c>
      <c r="I46" s="2" t="s">
        <v>13</v>
      </c>
      <c r="J46" s="2" t="s">
        <v>14</v>
      </c>
      <c r="K46" s="8" t="s">
        <v>15</v>
      </c>
      <c r="L46" s="6"/>
    </row>
    <row r="47" spans="1:12">
      <c r="A47" s="2">
        <v>46</v>
      </c>
      <c r="B47" s="4">
        <v>45062</v>
      </c>
      <c r="C47" s="3">
        <v>30</v>
      </c>
      <c r="D47" s="19">
        <f>E48-E47</f>
        <v>43</v>
      </c>
      <c r="E47" s="2">
        <v>121176</v>
      </c>
      <c r="F47" s="3">
        <v>3.57</v>
      </c>
      <c r="G47" s="2">
        <v>8.4</v>
      </c>
      <c r="H47" s="2" t="s">
        <v>12</v>
      </c>
      <c r="I47" s="2" t="s">
        <v>41</v>
      </c>
      <c r="J47" s="2" t="s">
        <v>25</v>
      </c>
      <c r="K47" s="8" t="s">
        <v>42</v>
      </c>
      <c r="L47" s="6"/>
    </row>
    <row r="48" spans="1:12">
      <c r="A48" s="2">
        <v>47</v>
      </c>
      <c r="B48" s="4">
        <v>45063</v>
      </c>
      <c r="C48" s="3">
        <v>50</v>
      </c>
      <c r="D48" s="19">
        <f>E49-E48</f>
        <v>118</v>
      </c>
      <c r="E48" s="2">
        <v>121219</v>
      </c>
      <c r="F48" s="3">
        <v>3.79</v>
      </c>
      <c r="G48" s="2">
        <v>13.19</v>
      </c>
      <c r="H48" s="2" t="s">
        <v>12</v>
      </c>
      <c r="I48" s="2" t="s">
        <v>19</v>
      </c>
      <c r="J48" s="2" t="s">
        <v>17</v>
      </c>
      <c r="K48" s="8" t="s">
        <v>15</v>
      </c>
      <c r="L48" s="6"/>
    </row>
    <row r="49" spans="1:12">
      <c r="A49" s="2">
        <v>48</v>
      </c>
      <c r="B49" s="4">
        <v>45065</v>
      </c>
      <c r="C49" s="3">
        <v>50</v>
      </c>
      <c r="D49" s="19">
        <f>E50-E49</f>
        <v>85</v>
      </c>
      <c r="E49" s="2">
        <v>121337</v>
      </c>
      <c r="F49" s="3">
        <v>3.72</v>
      </c>
      <c r="G49" s="2">
        <v>13.42</v>
      </c>
      <c r="H49" s="2" t="s">
        <v>12</v>
      </c>
      <c r="I49" s="2" t="s">
        <v>29</v>
      </c>
      <c r="J49" s="2" t="s">
        <v>25</v>
      </c>
      <c r="K49" s="8" t="s">
        <v>30</v>
      </c>
      <c r="L49" s="6"/>
    </row>
    <row r="50" spans="1:12">
      <c r="A50" s="2">
        <v>49</v>
      </c>
      <c r="B50" s="4">
        <v>45067</v>
      </c>
      <c r="C50" s="3">
        <v>40</v>
      </c>
      <c r="D50" s="19">
        <f>E51-E50</f>
        <v>97</v>
      </c>
      <c r="E50" s="2">
        <v>121422</v>
      </c>
      <c r="F50" s="3">
        <v>4.87</v>
      </c>
      <c r="G50" s="2">
        <v>8.2100000000000009</v>
      </c>
      <c r="H50" s="2" t="s">
        <v>16</v>
      </c>
      <c r="I50" s="2" t="s">
        <v>31</v>
      </c>
      <c r="J50" s="2" t="s">
        <v>17</v>
      </c>
      <c r="K50" s="8" t="s">
        <v>32</v>
      </c>
      <c r="L50" s="6"/>
    </row>
    <row r="51" spans="1:12">
      <c r="A51" s="2">
        <v>50</v>
      </c>
      <c r="B51" s="4">
        <v>45068</v>
      </c>
      <c r="C51" s="3">
        <v>30</v>
      </c>
      <c r="D51" s="19">
        <f>E52-E51</f>
        <v>54</v>
      </c>
      <c r="E51" s="2">
        <v>121519</v>
      </c>
      <c r="F51" s="3">
        <v>3.75</v>
      </c>
      <c r="G51" s="2">
        <v>8</v>
      </c>
      <c r="H51" s="2" t="s">
        <v>12</v>
      </c>
      <c r="I51" s="2" t="s">
        <v>29</v>
      </c>
      <c r="J51" s="2" t="s">
        <v>25</v>
      </c>
      <c r="K51" s="8" t="s">
        <v>30</v>
      </c>
      <c r="L51" s="6"/>
    </row>
    <row r="52" spans="1:12">
      <c r="A52" s="2">
        <v>51</v>
      </c>
      <c r="B52" s="4">
        <v>45070</v>
      </c>
      <c r="C52" s="3">
        <v>30</v>
      </c>
      <c r="D52" s="19">
        <f>E53-E52</f>
        <v>74</v>
      </c>
      <c r="E52" s="2">
        <v>121573</v>
      </c>
      <c r="F52" s="3">
        <v>3.59</v>
      </c>
      <c r="G52" s="2">
        <v>8.35</v>
      </c>
      <c r="H52" s="2" t="s">
        <v>12</v>
      </c>
      <c r="I52" s="2" t="s">
        <v>13</v>
      </c>
      <c r="J52" s="2" t="s">
        <v>14</v>
      </c>
      <c r="K52" s="8" t="s">
        <v>15</v>
      </c>
      <c r="L52" s="6"/>
    </row>
    <row r="53" spans="1:12">
      <c r="A53" s="2">
        <v>52</v>
      </c>
      <c r="B53" s="5">
        <v>45072</v>
      </c>
      <c r="C53" s="3">
        <v>40</v>
      </c>
      <c r="D53" s="19">
        <f>E54-E53</f>
        <v>65</v>
      </c>
      <c r="E53" s="2">
        <v>121647</v>
      </c>
      <c r="F53" s="3">
        <v>3.59</v>
      </c>
      <c r="G53" s="2">
        <v>11.14</v>
      </c>
      <c r="H53" s="2" t="s">
        <v>12</v>
      </c>
      <c r="I53" s="2" t="s">
        <v>13</v>
      </c>
      <c r="J53" s="2" t="s">
        <v>14</v>
      </c>
      <c r="K53" s="8" t="s">
        <v>15</v>
      </c>
      <c r="L53" s="6"/>
    </row>
    <row r="54" spans="1:12">
      <c r="A54" s="2">
        <v>53</v>
      </c>
      <c r="B54" s="5">
        <v>45075</v>
      </c>
      <c r="C54" s="3">
        <v>30</v>
      </c>
      <c r="D54" s="19">
        <f>E55-E54</f>
        <v>13</v>
      </c>
      <c r="E54" s="2">
        <v>121712</v>
      </c>
      <c r="F54" s="3">
        <v>4.8899999999999997</v>
      </c>
      <c r="G54" s="2">
        <v>6.13</v>
      </c>
      <c r="H54" s="2" t="s">
        <v>16</v>
      </c>
      <c r="I54" s="2" t="s">
        <v>13</v>
      </c>
      <c r="J54" s="2" t="s">
        <v>14</v>
      </c>
      <c r="K54" s="8" t="s">
        <v>15</v>
      </c>
      <c r="L54" s="6"/>
    </row>
    <row r="55" spans="1:12">
      <c r="A55" s="2">
        <v>54</v>
      </c>
      <c r="B55" s="5">
        <v>45090</v>
      </c>
      <c r="C55" s="3">
        <v>25</v>
      </c>
      <c r="D55" s="19">
        <f>E56-E55</f>
        <v>61</v>
      </c>
      <c r="E55" s="2">
        <v>121725</v>
      </c>
      <c r="F55" s="3">
        <v>3.59</v>
      </c>
      <c r="G55" s="2">
        <v>6.96</v>
      </c>
      <c r="H55" s="2" t="s">
        <v>12</v>
      </c>
      <c r="I55" s="2" t="s">
        <v>13</v>
      </c>
      <c r="J55" s="2" t="s">
        <v>14</v>
      </c>
      <c r="K55" s="8" t="s">
        <v>15</v>
      </c>
      <c r="L55" s="6"/>
    </row>
    <row r="56" spans="1:12">
      <c r="A56" s="2">
        <v>55</v>
      </c>
      <c r="B56" s="5">
        <v>45091</v>
      </c>
      <c r="C56" s="3">
        <v>100</v>
      </c>
      <c r="D56" s="19">
        <f>E57-E56</f>
        <v>213</v>
      </c>
      <c r="E56" s="2">
        <v>121786</v>
      </c>
      <c r="F56" s="3">
        <v>3.59</v>
      </c>
      <c r="G56" s="2">
        <v>27.855</v>
      </c>
      <c r="H56" s="2" t="s">
        <v>12</v>
      </c>
      <c r="I56" s="2" t="s">
        <v>13</v>
      </c>
      <c r="J56" s="2" t="s">
        <v>14</v>
      </c>
      <c r="K56" s="8" t="s">
        <v>15</v>
      </c>
      <c r="L56" s="6"/>
    </row>
    <row r="57" spans="1:12">
      <c r="A57" s="2">
        <v>56</v>
      </c>
      <c r="B57" s="5">
        <v>45096</v>
      </c>
      <c r="C57" s="3">
        <v>30</v>
      </c>
      <c r="D57" s="19">
        <f>E58-E57</f>
        <v>60</v>
      </c>
      <c r="E57" s="2">
        <v>121999</v>
      </c>
      <c r="F57" s="3">
        <v>3.55</v>
      </c>
      <c r="G57" s="2">
        <v>8.4499999999999993</v>
      </c>
      <c r="H57" s="2" t="s">
        <v>12</v>
      </c>
      <c r="I57" s="2" t="s">
        <v>31</v>
      </c>
      <c r="J57" s="2" t="s">
        <v>17</v>
      </c>
      <c r="K57" s="8" t="s">
        <v>32</v>
      </c>
      <c r="L57" s="6"/>
    </row>
    <row r="58" spans="1:12">
      <c r="A58" s="2">
        <v>57</v>
      </c>
      <c r="B58" s="5">
        <v>45097</v>
      </c>
      <c r="C58" s="3">
        <v>30</v>
      </c>
      <c r="D58" s="19">
        <f>E59-E58</f>
        <v>46</v>
      </c>
      <c r="E58" s="2">
        <v>122059</v>
      </c>
      <c r="F58" s="3">
        <v>3.49</v>
      </c>
      <c r="G58" s="2">
        <v>8.59</v>
      </c>
      <c r="H58" s="2" t="s">
        <v>12</v>
      </c>
      <c r="I58" s="2" t="s">
        <v>31</v>
      </c>
      <c r="J58" s="2" t="s">
        <v>17</v>
      </c>
      <c r="K58" s="8" t="s">
        <v>32</v>
      </c>
      <c r="L58" s="6"/>
    </row>
    <row r="59" spans="1:12">
      <c r="A59" s="2">
        <v>58</v>
      </c>
      <c r="B59" s="5">
        <v>45100.712500000001</v>
      </c>
      <c r="C59" s="3">
        <v>30</v>
      </c>
      <c r="D59" s="19">
        <f>E60-E59</f>
        <v>57</v>
      </c>
      <c r="E59" s="2">
        <v>122105</v>
      </c>
      <c r="F59" s="3">
        <v>3.49</v>
      </c>
      <c r="G59" s="2">
        <v>8.59</v>
      </c>
      <c r="H59" s="2" t="s">
        <v>12</v>
      </c>
      <c r="I59" s="2" t="s">
        <v>13</v>
      </c>
      <c r="J59" s="2" t="s">
        <v>14</v>
      </c>
      <c r="K59" s="8" t="s">
        <v>15</v>
      </c>
      <c r="L59" s="6"/>
    </row>
    <row r="60" spans="1:12">
      <c r="A60" s="2">
        <v>59</v>
      </c>
      <c r="B60" s="5">
        <v>45101</v>
      </c>
      <c r="C60" s="3">
        <v>50</v>
      </c>
      <c r="D60" s="19">
        <f>E61-E60</f>
        <v>107</v>
      </c>
      <c r="E60" s="2">
        <v>122162</v>
      </c>
      <c r="F60" s="3">
        <v>3.49</v>
      </c>
      <c r="G60" s="2">
        <v>14.32</v>
      </c>
      <c r="H60" s="2" t="s">
        <v>12</v>
      </c>
      <c r="I60" s="2" t="s">
        <v>13</v>
      </c>
      <c r="J60" s="2" t="s">
        <v>14</v>
      </c>
      <c r="K60" s="8" t="s">
        <v>15</v>
      </c>
      <c r="L60" s="6"/>
    </row>
    <row r="61" spans="1:12">
      <c r="A61" s="2">
        <v>60</v>
      </c>
      <c r="B61" s="5">
        <v>45103</v>
      </c>
      <c r="C61" s="3">
        <v>100</v>
      </c>
      <c r="D61" s="19">
        <f>E62-E61</f>
        <v>237</v>
      </c>
      <c r="E61" s="2">
        <v>122269</v>
      </c>
      <c r="F61" s="3">
        <v>3.49</v>
      </c>
      <c r="G61" s="2">
        <v>28.65</v>
      </c>
      <c r="H61" s="2" t="s">
        <v>12</v>
      </c>
      <c r="I61" s="2" t="s">
        <v>43</v>
      </c>
      <c r="J61" s="2" t="s">
        <v>17</v>
      </c>
      <c r="K61" s="8" t="s">
        <v>44</v>
      </c>
      <c r="L61" s="6"/>
    </row>
    <row r="62" spans="1:12">
      <c r="A62" s="2">
        <v>61</v>
      </c>
      <c r="B62" s="5">
        <v>45106</v>
      </c>
      <c r="C62" s="3">
        <v>30</v>
      </c>
      <c r="D62" s="19">
        <f>E63-E62</f>
        <v>17</v>
      </c>
      <c r="E62" s="2">
        <v>122506</v>
      </c>
      <c r="F62" s="3">
        <v>3.89</v>
      </c>
      <c r="G62" s="2">
        <v>7.71</v>
      </c>
      <c r="H62" s="2" t="s">
        <v>12</v>
      </c>
      <c r="I62" s="2" t="s">
        <v>13</v>
      </c>
      <c r="J62" s="2" t="s">
        <v>14</v>
      </c>
      <c r="K62" s="8" t="s">
        <v>15</v>
      </c>
      <c r="L62" s="6"/>
    </row>
    <row r="63" spans="1:12">
      <c r="A63" s="2">
        <v>62</v>
      </c>
      <c r="B63" s="5">
        <v>45107</v>
      </c>
      <c r="C63" s="3">
        <v>30</v>
      </c>
      <c r="D63" s="19">
        <f>E64-E63</f>
        <v>165</v>
      </c>
      <c r="E63" s="2">
        <v>122523</v>
      </c>
      <c r="F63" s="3">
        <v>3.89</v>
      </c>
      <c r="G63" s="2">
        <v>7.71</v>
      </c>
      <c r="H63" s="2" t="s">
        <v>12</v>
      </c>
      <c r="I63" s="2" t="s">
        <v>13</v>
      </c>
      <c r="J63" s="2" t="s">
        <v>14</v>
      </c>
      <c r="K63" s="8" t="s">
        <v>15</v>
      </c>
      <c r="L63" s="6"/>
    </row>
    <row r="64" spans="1:12">
      <c r="A64" s="2">
        <v>63</v>
      </c>
      <c r="B64" s="5">
        <v>45109</v>
      </c>
      <c r="C64" s="3">
        <v>30</v>
      </c>
      <c r="D64" s="19">
        <f>E66-E64</f>
        <v>232</v>
      </c>
      <c r="E64" s="2">
        <v>122688</v>
      </c>
      <c r="F64" s="3">
        <v>3.89</v>
      </c>
      <c r="G64" s="2">
        <v>7.71</v>
      </c>
      <c r="H64" s="2" t="s">
        <v>12</v>
      </c>
      <c r="I64" s="2" t="s">
        <v>45</v>
      </c>
      <c r="J64" s="2" t="s">
        <v>14</v>
      </c>
      <c r="K64" s="8" t="s">
        <v>15</v>
      </c>
      <c r="L64" s="6"/>
    </row>
    <row r="65" spans="1:12" hidden="1">
      <c r="A65" s="2"/>
      <c r="B65" s="5"/>
      <c r="C65" s="3"/>
      <c r="D65" s="19"/>
      <c r="E65" s="2"/>
      <c r="F65" s="3"/>
      <c r="G65" s="2"/>
      <c r="H65" s="2"/>
      <c r="I65" s="2"/>
      <c r="J65" s="2"/>
      <c r="K65" s="8"/>
      <c r="L65" s="6"/>
    </row>
    <row r="66" spans="1:12">
      <c r="A66" s="2">
        <v>65</v>
      </c>
      <c r="B66" s="5">
        <v>45115</v>
      </c>
      <c r="C66" s="3">
        <v>30</v>
      </c>
      <c r="D66" s="19">
        <f>E67-E66</f>
        <v>53</v>
      </c>
      <c r="E66" s="2">
        <v>122920</v>
      </c>
      <c r="F66" s="3">
        <v>3.69</v>
      </c>
      <c r="G66" s="2">
        <v>8.1300000000000008</v>
      </c>
      <c r="H66" s="2" t="s">
        <v>12</v>
      </c>
      <c r="I66" s="2" t="s">
        <v>31</v>
      </c>
      <c r="J66" s="2" t="s">
        <v>17</v>
      </c>
      <c r="K66" s="8" t="s">
        <v>32</v>
      </c>
      <c r="L66" s="6"/>
    </row>
    <row r="67" spans="1:12">
      <c r="A67" s="2">
        <v>66</v>
      </c>
      <c r="B67" s="5">
        <v>45116</v>
      </c>
      <c r="C67" s="3">
        <v>15</v>
      </c>
      <c r="D67" s="19">
        <f>E68-E67</f>
        <v>40</v>
      </c>
      <c r="E67" s="2">
        <v>122973</v>
      </c>
      <c r="F67" s="3">
        <v>3.69</v>
      </c>
      <c r="G67" s="2">
        <v>4.0599999999999996</v>
      </c>
      <c r="H67" s="2" t="s">
        <v>12</v>
      </c>
      <c r="I67" s="2" t="s">
        <v>13</v>
      </c>
      <c r="J67" s="2" t="s">
        <v>14</v>
      </c>
      <c r="K67" s="8" t="s">
        <v>15</v>
      </c>
      <c r="L67" s="6"/>
    </row>
    <row r="68" spans="1:12">
      <c r="A68" s="2">
        <v>67</v>
      </c>
      <c r="B68" s="5">
        <v>45117</v>
      </c>
      <c r="C68" s="3">
        <v>50</v>
      </c>
      <c r="D68" s="19">
        <f>E70-E68</f>
        <v>327</v>
      </c>
      <c r="E68" s="2">
        <v>123013</v>
      </c>
      <c r="F68" s="3">
        <v>3.69</v>
      </c>
      <c r="G68" s="2">
        <v>13.55</v>
      </c>
      <c r="H68" s="2" t="s">
        <v>12</v>
      </c>
      <c r="I68" s="2" t="s">
        <v>13</v>
      </c>
      <c r="J68" s="2" t="s">
        <v>14</v>
      </c>
      <c r="K68" s="8" t="s">
        <v>15</v>
      </c>
      <c r="L68" s="6"/>
    </row>
    <row r="69" spans="1:12" hidden="1">
      <c r="A69" s="2"/>
      <c r="B69" s="5"/>
      <c r="C69" s="3"/>
      <c r="D69" s="19"/>
      <c r="E69" s="2"/>
      <c r="F69" s="3"/>
      <c r="G69" s="2"/>
      <c r="H69" s="2"/>
      <c r="I69" s="2"/>
      <c r="J69" s="2"/>
      <c r="K69" s="8"/>
      <c r="L69" s="6"/>
    </row>
    <row r="70" spans="1:12">
      <c r="A70" s="2">
        <v>69</v>
      </c>
      <c r="B70" s="5">
        <v>45126</v>
      </c>
      <c r="C70" s="3">
        <v>30</v>
      </c>
      <c r="D70" s="19">
        <f>E71-E70</f>
        <v>47</v>
      </c>
      <c r="E70" s="2">
        <v>123340</v>
      </c>
      <c r="F70" s="3">
        <v>3.54</v>
      </c>
      <c r="G70" s="2">
        <v>8.4700000000000006</v>
      </c>
      <c r="H70" s="2" t="s">
        <v>12</v>
      </c>
      <c r="I70" s="2" t="s">
        <v>46</v>
      </c>
      <c r="J70" s="2" t="s">
        <v>17</v>
      </c>
      <c r="K70" s="8" t="s">
        <v>23</v>
      </c>
      <c r="L70" s="6"/>
    </row>
    <row r="71" spans="1:12">
      <c r="A71" s="2">
        <v>70</v>
      </c>
      <c r="B71" s="5">
        <v>45128</v>
      </c>
      <c r="C71" s="3">
        <v>50</v>
      </c>
      <c r="D71" s="19">
        <f>E72-E71</f>
        <v>111</v>
      </c>
      <c r="E71" s="2">
        <v>123387</v>
      </c>
      <c r="F71" s="3">
        <v>3.54</v>
      </c>
      <c r="G71" s="2">
        <v>14.12</v>
      </c>
      <c r="H71" s="2" t="s">
        <v>12</v>
      </c>
      <c r="I71" s="2" t="s">
        <v>47</v>
      </c>
      <c r="J71" s="2" t="s">
        <v>48</v>
      </c>
      <c r="K71" s="8" t="s">
        <v>49</v>
      </c>
      <c r="L71" s="6"/>
    </row>
    <row r="72" spans="1:12">
      <c r="A72" s="36">
        <v>71</v>
      </c>
      <c r="B72" s="37">
        <v>45129</v>
      </c>
      <c r="C72" s="38">
        <v>60</v>
      </c>
      <c r="D72" s="39">
        <f>E73-E72</f>
        <v>271</v>
      </c>
      <c r="E72" s="36">
        <v>123498</v>
      </c>
      <c r="F72" s="36">
        <v>3.54</v>
      </c>
      <c r="G72" s="36">
        <v>16.940000000000001</v>
      </c>
      <c r="H72" s="36" t="s">
        <v>12</v>
      </c>
      <c r="I72" s="36" t="s">
        <v>13</v>
      </c>
      <c r="J72" s="36" t="s">
        <v>14</v>
      </c>
      <c r="K72" s="40" t="s">
        <v>15</v>
      </c>
      <c r="L72" s="6">
        <v>6</v>
      </c>
    </row>
    <row r="73" spans="1:12">
      <c r="A73" s="36">
        <v>72</v>
      </c>
      <c r="B73" s="37">
        <v>45166</v>
      </c>
      <c r="C73" s="38">
        <v>50</v>
      </c>
      <c r="D73" s="39">
        <f>E74-E73</f>
        <v>47</v>
      </c>
      <c r="E73" s="36">
        <v>123769</v>
      </c>
      <c r="F73" s="36">
        <v>3.49</v>
      </c>
      <c r="G73" s="36">
        <v>14.32</v>
      </c>
      <c r="H73" s="36" t="s">
        <v>12</v>
      </c>
      <c r="I73" s="36" t="s">
        <v>45</v>
      </c>
      <c r="J73" s="36" t="s">
        <v>14</v>
      </c>
      <c r="K73" s="40" t="s">
        <v>15</v>
      </c>
      <c r="L73" s="6">
        <v>2.9</v>
      </c>
    </row>
    <row r="74" spans="1:12">
      <c r="A74" s="36">
        <v>73</v>
      </c>
      <c r="B74" s="37">
        <v>45167</v>
      </c>
      <c r="C74" s="38">
        <v>30</v>
      </c>
      <c r="D74" s="39">
        <f>E75-E74</f>
        <v>36</v>
      </c>
      <c r="E74" s="36">
        <v>123816</v>
      </c>
      <c r="F74" s="36">
        <v>3.49</v>
      </c>
      <c r="G74" s="36">
        <v>8.59</v>
      </c>
      <c r="H74" s="36" t="s">
        <v>12</v>
      </c>
      <c r="I74" s="36" t="s">
        <v>45</v>
      </c>
      <c r="J74" s="36" t="s">
        <v>14</v>
      </c>
      <c r="K74" s="40" t="s">
        <v>15</v>
      </c>
      <c r="L74" s="6">
        <v>5.5</v>
      </c>
    </row>
    <row r="75" spans="1:12">
      <c r="A75" s="36">
        <v>74</v>
      </c>
      <c r="B75" s="37">
        <v>45169</v>
      </c>
      <c r="C75" s="38">
        <v>50</v>
      </c>
      <c r="D75" s="39">
        <f>E76-E75</f>
        <v>162</v>
      </c>
      <c r="E75" s="36">
        <v>123852</v>
      </c>
      <c r="F75" s="36">
        <v>3.49</v>
      </c>
      <c r="G75" s="36">
        <v>14.32</v>
      </c>
      <c r="H75" s="36" t="s">
        <v>12</v>
      </c>
      <c r="I75" s="36" t="s">
        <v>45</v>
      </c>
      <c r="J75" s="36" t="s">
        <v>14</v>
      </c>
      <c r="K75" s="40" t="s">
        <v>15</v>
      </c>
      <c r="L75" s="6">
        <v>9.1999999999999993</v>
      </c>
    </row>
    <row r="76" spans="1:12">
      <c r="A76" s="36">
        <v>75</v>
      </c>
      <c r="B76" s="37">
        <v>45170</v>
      </c>
      <c r="C76" s="38">
        <v>150.94999999999999</v>
      </c>
      <c r="D76" s="39">
        <f>E77-E76</f>
        <v>360</v>
      </c>
      <c r="E76" s="36">
        <v>124014</v>
      </c>
      <c r="F76" s="36">
        <v>3.29</v>
      </c>
      <c r="G76" s="36">
        <v>45.88</v>
      </c>
      <c r="H76" s="36" t="s">
        <v>12</v>
      </c>
      <c r="I76" s="36" t="s">
        <v>50</v>
      </c>
      <c r="J76" s="36" t="s">
        <v>25</v>
      </c>
      <c r="K76" s="8" t="s">
        <v>38</v>
      </c>
      <c r="L76" s="6">
        <v>8.3000000000000007</v>
      </c>
    </row>
    <row r="77" spans="1:12">
      <c r="A77" s="36">
        <v>76</v>
      </c>
      <c r="B77" s="37">
        <v>45177</v>
      </c>
      <c r="C77" s="38">
        <v>50</v>
      </c>
      <c r="D77" s="39">
        <f>E78-E77</f>
        <v>89</v>
      </c>
      <c r="E77" s="36">
        <v>124374</v>
      </c>
      <c r="F77" s="36">
        <v>3.49</v>
      </c>
      <c r="G77" s="36">
        <v>14.32</v>
      </c>
      <c r="H77" s="36" t="s">
        <v>12</v>
      </c>
      <c r="I77" s="36" t="s">
        <v>19</v>
      </c>
      <c r="J77" s="36" t="s">
        <v>17</v>
      </c>
      <c r="K77" s="40" t="s">
        <v>15</v>
      </c>
      <c r="L77" s="6">
        <v>0</v>
      </c>
    </row>
    <row r="78" spans="1:12">
      <c r="A78" s="36">
        <v>77</v>
      </c>
      <c r="B78" s="37">
        <v>45182</v>
      </c>
      <c r="C78" s="38">
        <v>30</v>
      </c>
      <c r="D78" s="39">
        <f>E79-E78</f>
        <v>57</v>
      </c>
      <c r="E78" s="36">
        <v>124463</v>
      </c>
      <c r="F78" s="36">
        <v>3.49</v>
      </c>
      <c r="G78" s="36">
        <v>8.59</v>
      </c>
      <c r="H78" s="36" t="s">
        <v>12</v>
      </c>
      <c r="I78" s="36" t="s">
        <v>13</v>
      </c>
      <c r="J78" s="36" t="s">
        <v>14</v>
      </c>
      <c r="K78" s="40" t="s">
        <v>15</v>
      </c>
      <c r="L78" s="6">
        <v>2.6</v>
      </c>
    </row>
    <row r="79" spans="1:12">
      <c r="A79" s="36">
        <v>78</v>
      </c>
      <c r="B79" s="37">
        <v>45184</v>
      </c>
      <c r="C79" s="38">
        <v>50</v>
      </c>
      <c r="D79" s="39">
        <f>E80-E79</f>
        <v>121</v>
      </c>
      <c r="E79" s="36">
        <v>124520</v>
      </c>
      <c r="F79" s="36">
        <v>3.34</v>
      </c>
      <c r="G79" s="36">
        <v>14.97</v>
      </c>
      <c r="H79" s="36" t="s">
        <v>12</v>
      </c>
      <c r="I79" s="36" t="s">
        <v>51</v>
      </c>
      <c r="J79" s="36" t="s">
        <v>17</v>
      </c>
      <c r="K79" s="40" t="s">
        <v>30</v>
      </c>
      <c r="L79" s="6">
        <v>0</v>
      </c>
    </row>
    <row r="80" spans="1:12">
      <c r="A80" s="36">
        <v>79</v>
      </c>
      <c r="B80" s="37">
        <v>45188</v>
      </c>
      <c r="C80" s="38">
        <v>30</v>
      </c>
      <c r="D80" s="39">
        <f>E81-E80</f>
        <v>45</v>
      </c>
      <c r="E80" s="36">
        <v>124641</v>
      </c>
      <c r="F80" s="36">
        <v>3.49</v>
      </c>
      <c r="G80" s="36">
        <v>8.59</v>
      </c>
      <c r="H80" s="36" t="s">
        <v>12</v>
      </c>
      <c r="I80" s="36" t="s">
        <v>13</v>
      </c>
      <c r="J80" s="36" t="s">
        <v>14</v>
      </c>
      <c r="K80" s="40" t="s">
        <v>15</v>
      </c>
      <c r="L80" s="6">
        <v>9.3000000000000007</v>
      </c>
    </row>
    <row r="81" spans="1:12">
      <c r="A81" s="36">
        <v>80</v>
      </c>
      <c r="B81" s="37">
        <v>45191</v>
      </c>
      <c r="C81" s="38">
        <v>50</v>
      </c>
      <c r="D81" s="39">
        <f>E82-E81</f>
        <v>96</v>
      </c>
      <c r="E81" s="36">
        <v>124686</v>
      </c>
      <c r="F81" s="36">
        <v>3.29</v>
      </c>
      <c r="G81" s="36">
        <v>15.19</v>
      </c>
      <c r="H81" s="36" t="s">
        <v>12</v>
      </c>
      <c r="I81" s="36" t="s">
        <v>50</v>
      </c>
      <c r="J81" s="36" t="s">
        <v>25</v>
      </c>
      <c r="K81" s="40" t="s">
        <v>30</v>
      </c>
      <c r="L81" s="6">
        <v>5.3</v>
      </c>
    </row>
    <row r="82" spans="1:12">
      <c r="A82" s="36">
        <v>81</v>
      </c>
      <c r="B82" s="37">
        <v>45195</v>
      </c>
      <c r="C82" s="38">
        <v>20</v>
      </c>
      <c r="D82" s="39">
        <f>E83-E82</f>
        <v>50</v>
      </c>
      <c r="E82" s="36">
        <v>124782</v>
      </c>
      <c r="F82" s="36">
        <v>3.49</v>
      </c>
      <c r="G82" s="36">
        <v>5.73</v>
      </c>
      <c r="H82" s="36" t="s">
        <v>12</v>
      </c>
      <c r="I82" s="36" t="s">
        <v>13</v>
      </c>
      <c r="J82" s="36" t="s">
        <v>14</v>
      </c>
      <c r="K82" s="41" t="s">
        <v>15</v>
      </c>
      <c r="L82" s="6">
        <v>-5</v>
      </c>
    </row>
    <row r="83" spans="1:12">
      <c r="A83" s="42">
        <v>82</v>
      </c>
      <c r="B83" s="43">
        <v>45197</v>
      </c>
      <c r="C83" s="44">
        <v>30</v>
      </c>
      <c r="D83" s="45">
        <f>E84-E83</f>
        <v>60</v>
      </c>
      <c r="E83" s="42">
        <v>124832</v>
      </c>
      <c r="F83" s="42">
        <v>3.49</v>
      </c>
      <c r="G83" s="42">
        <v>8.59</v>
      </c>
      <c r="H83" s="42" t="s">
        <v>12</v>
      </c>
      <c r="I83" s="42" t="s">
        <v>52</v>
      </c>
      <c r="J83" s="41" t="s">
        <v>14</v>
      </c>
      <c r="K83" s="11" t="s">
        <v>53</v>
      </c>
      <c r="L83" s="12">
        <v>0</v>
      </c>
    </row>
    <row r="84" spans="1:12">
      <c r="A84" s="36">
        <v>83</v>
      </c>
      <c r="B84" s="37">
        <v>45200</v>
      </c>
      <c r="C84" s="38">
        <v>17.45</v>
      </c>
      <c r="D84" s="39">
        <f>E85-E84</f>
        <v>5</v>
      </c>
      <c r="E84" s="36">
        <v>124892</v>
      </c>
      <c r="F84" s="36">
        <v>3.49</v>
      </c>
      <c r="G84" s="36">
        <v>5</v>
      </c>
      <c r="H84" s="36" t="s">
        <v>12</v>
      </c>
      <c r="I84" s="2" t="s">
        <v>19</v>
      </c>
      <c r="J84" s="2" t="s">
        <v>17</v>
      </c>
      <c r="K84" s="2" t="s">
        <v>15</v>
      </c>
      <c r="L84" s="6">
        <v>0</v>
      </c>
    </row>
    <row r="85" spans="1:12">
      <c r="A85" s="46">
        <v>84</v>
      </c>
      <c r="B85" s="47">
        <v>45200</v>
      </c>
      <c r="C85" s="48">
        <v>50</v>
      </c>
      <c r="D85" s="49">
        <f>E86-E85</f>
        <v>102</v>
      </c>
      <c r="E85" s="46">
        <v>124897</v>
      </c>
      <c r="F85" s="46">
        <v>5.65</v>
      </c>
      <c r="G85" s="46">
        <v>8.85</v>
      </c>
      <c r="H85" s="46" t="s">
        <v>54</v>
      </c>
      <c r="I85" s="46" t="s">
        <v>27</v>
      </c>
      <c r="J85" s="50" t="s">
        <v>14</v>
      </c>
      <c r="K85" s="13" t="s">
        <v>28</v>
      </c>
      <c r="L85" s="14">
        <v>5.0999999999999996</v>
      </c>
    </row>
    <row r="86" spans="1:12">
      <c r="A86" s="42">
        <v>85</v>
      </c>
      <c r="B86" s="43">
        <v>45202</v>
      </c>
      <c r="C86" s="44">
        <v>20</v>
      </c>
      <c r="D86" s="45">
        <f>E87-E86</f>
        <v>55</v>
      </c>
      <c r="E86" s="42">
        <v>124999</v>
      </c>
      <c r="F86" s="42">
        <v>3.34</v>
      </c>
      <c r="G86" s="42">
        <v>5.98</v>
      </c>
      <c r="H86" s="42" t="s">
        <v>12</v>
      </c>
      <c r="I86" s="42" t="s">
        <v>51</v>
      </c>
      <c r="J86" s="51" t="s">
        <v>14</v>
      </c>
      <c r="K86" s="11" t="s">
        <v>55</v>
      </c>
      <c r="L86" s="12"/>
    </row>
    <row r="87" spans="1:12">
      <c r="A87" s="36">
        <v>85</v>
      </c>
      <c r="B87" s="37">
        <v>45205</v>
      </c>
      <c r="C87" s="38">
        <v>20</v>
      </c>
      <c r="D87" s="39">
        <f>E88-E87</f>
        <v>52</v>
      </c>
      <c r="E87" s="36">
        <v>125054</v>
      </c>
      <c r="F87" s="36">
        <v>3.34</v>
      </c>
      <c r="G87" s="36">
        <v>5.98</v>
      </c>
      <c r="H87" s="36" t="s">
        <v>12</v>
      </c>
      <c r="I87" s="36" t="s">
        <v>56</v>
      </c>
      <c r="J87" s="36" t="s">
        <v>17</v>
      </c>
      <c r="K87" s="10" t="s">
        <v>32</v>
      </c>
      <c r="L87" s="6">
        <v>4.3</v>
      </c>
    </row>
    <row r="88" spans="1:12">
      <c r="A88" s="36">
        <v>86</v>
      </c>
      <c r="B88" s="37">
        <v>45206</v>
      </c>
      <c r="C88" s="38">
        <v>30</v>
      </c>
      <c r="D88" s="39">
        <f>E89-E88</f>
        <v>70</v>
      </c>
      <c r="E88" s="36">
        <v>125106</v>
      </c>
      <c r="F88" s="36">
        <v>3.57</v>
      </c>
      <c r="G88" s="36">
        <v>8.4</v>
      </c>
      <c r="H88" s="36" t="s">
        <v>12</v>
      </c>
      <c r="I88" s="36" t="s">
        <v>57</v>
      </c>
      <c r="J88" s="36" t="s">
        <v>25</v>
      </c>
      <c r="K88" s="10" t="s">
        <v>53</v>
      </c>
      <c r="L88" s="6">
        <v>6.9</v>
      </c>
    </row>
    <row r="89" spans="1:12">
      <c r="A89" s="36">
        <v>87</v>
      </c>
      <c r="B89" s="37">
        <v>45209</v>
      </c>
      <c r="C89" s="38">
        <v>30</v>
      </c>
      <c r="D89" s="39">
        <f>E90-E89</f>
        <v>55</v>
      </c>
      <c r="E89" s="36">
        <v>125176</v>
      </c>
      <c r="F89" s="36">
        <v>3.49</v>
      </c>
      <c r="G89" s="36">
        <v>8.59</v>
      </c>
      <c r="H89" s="36" t="s">
        <v>12</v>
      </c>
      <c r="I89" s="36" t="s">
        <v>13</v>
      </c>
      <c r="J89" s="36" t="s">
        <v>14</v>
      </c>
      <c r="K89" s="10" t="s">
        <v>15</v>
      </c>
      <c r="L89" s="6">
        <v>9.4</v>
      </c>
    </row>
    <row r="90" spans="1:12">
      <c r="A90" s="36">
        <v>88</v>
      </c>
      <c r="B90" s="37">
        <v>45211</v>
      </c>
      <c r="C90" s="38">
        <v>30</v>
      </c>
      <c r="D90" s="39">
        <f>E91-E90</f>
        <v>34</v>
      </c>
      <c r="E90" s="36">
        <v>125231</v>
      </c>
      <c r="F90" s="36">
        <v>3.49</v>
      </c>
      <c r="G90" s="36">
        <v>8.59</v>
      </c>
      <c r="H90" s="36" t="s">
        <v>12</v>
      </c>
      <c r="I90" s="36" t="s">
        <v>13</v>
      </c>
      <c r="J90" s="36" t="s">
        <v>14</v>
      </c>
      <c r="K90" s="10" t="s">
        <v>15</v>
      </c>
      <c r="L90" s="6">
        <v>2.7</v>
      </c>
    </row>
    <row r="91" spans="1:12">
      <c r="A91" s="36">
        <v>89</v>
      </c>
      <c r="B91" s="37">
        <v>45211</v>
      </c>
      <c r="C91" s="38">
        <v>160</v>
      </c>
      <c r="D91" s="39">
        <f>E92-E91</f>
        <v>347</v>
      </c>
      <c r="E91" s="36">
        <v>125265</v>
      </c>
      <c r="F91" s="36">
        <v>3.34</v>
      </c>
      <c r="G91" s="36">
        <v>48.5</v>
      </c>
      <c r="H91" s="36" t="s">
        <v>12</v>
      </c>
      <c r="I91" s="36" t="s">
        <v>58</v>
      </c>
      <c r="J91" s="36" t="s">
        <v>14</v>
      </c>
      <c r="K91" s="10" t="s">
        <v>59</v>
      </c>
      <c r="L91" s="6">
        <v>-1.2</v>
      </c>
    </row>
    <row r="92" spans="1:12">
      <c r="A92" s="36">
        <v>90</v>
      </c>
      <c r="B92" s="37">
        <v>45221</v>
      </c>
      <c r="C92" s="38">
        <v>40</v>
      </c>
      <c r="D92" s="39">
        <f>E93-E92</f>
        <v>80</v>
      </c>
      <c r="E92" s="36">
        <v>125612</v>
      </c>
      <c r="F92" s="36">
        <v>3.47</v>
      </c>
      <c r="G92" s="36">
        <v>11.52</v>
      </c>
      <c r="H92" s="36" t="s">
        <v>12</v>
      </c>
      <c r="I92" s="36" t="s">
        <v>13</v>
      </c>
      <c r="J92" s="36" t="s">
        <v>14</v>
      </c>
      <c r="K92" s="10" t="s">
        <v>15</v>
      </c>
      <c r="L92" s="6">
        <v>10.199999999999999</v>
      </c>
    </row>
    <row r="93" spans="1:12">
      <c r="A93" s="36">
        <v>90</v>
      </c>
      <c r="B93" s="37">
        <v>45222</v>
      </c>
      <c r="C93" s="38">
        <v>20</v>
      </c>
      <c r="D93" s="39">
        <f>E94-E93</f>
        <v>38</v>
      </c>
      <c r="E93" s="36">
        <v>125692</v>
      </c>
      <c r="F93" s="36">
        <v>3.39</v>
      </c>
      <c r="G93" s="36">
        <f>20/3.39</f>
        <v>5.8997050147492622</v>
      </c>
      <c r="H93" s="36" t="s">
        <v>12</v>
      </c>
      <c r="I93" s="36" t="s">
        <v>50</v>
      </c>
      <c r="J93" s="36" t="s">
        <v>25</v>
      </c>
      <c r="K93" s="36" t="s">
        <v>30</v>
      </c>
      <c r="L93" s="6">
        <v>5.7</v>
      </c>
    </row>
    <row r="94" spans="1:12">
      <c r="A94" s="36">
        <v>91</v>
      </c>
      <c r="B94" s="37">
        <v>45223</v>
      </c>
      <c r="C94" s="38">
        <v>50</v>
      </c>
      <c r="D94" s="39">
        <f>E95-E94</f>
        <v>95</v>
      </c>
      <c r="E94" s="36">
        <v>125730</v>
      </c>
      <c r="F94" s="36">
        <v>3.47</v>
      </c>
      <c r="G94" s="36">
        <v>14.4</v>
      </c>
      <c r="H94" s="36" t="s">
        <v>12</v>
      </c>
      <c r="I94" s="2" t="s">
        <v>46</v>
      </c>
      <c r="J94" s="2" t="s">
        <v>17</v>
      </c>
      <c r="K94" s="36" t="s">
        <v>23</v>
      </c>
      <c r="L94" s="6">
        <v>9.3000000000000007</v>
      </c>
    </row>
    <row r="95" spans="1:12">
      <c r="A95" s="36">
        <v>92</v>
      </c>
      <c r="B95" s="37">
        <v>45227</v>
      </c>
      <c r="C95" s="38">
        <v>20</v>
      </c>
      <c r="D95" s="39">
        <f>E96-E95</f>
        <v>59</v>
      </c>
      <c r="E95" s="36">
        <v>125825</v>
      </c>
      <c r="F95" s="36">
        <v>3.69</v>
      </c>
      <c r="G95" s="36">
        <v>5.42</v>
      </c>
      <c r="H95" s="36" t="s">
        <v>12</v>
      </c>
      <c r="I95" s="2" t="s">
        <v>39</v>
      </c>
      <c r="J95" s="2" t="s">
        <v>25</v>
      </c>
      <c r="K95" s="36" t="s">
        <v>40</v>
      </c>
      <c r="L95" s="6">
        <v>-2</v>
      </c>
    </row>
    <row r="96" spans="1:12">
      <c r="A96" s="36">
        <v>93</v>
      </c>
      <c r="B96" s="37">
        <v>45231</v>
      </c>
      <c r="C96" s="38">
        <v>30</v>
      </c>
      <c r="D96" s="39">
        <f>E97-E96</f>
        <v>47</v>
      </c>
      <c r="E96" s="36">
        <v>125884</v>
      </c>
      <c r="F96" s="36">
        <v>3.39</v>
      </c>
      <c r="G96" s="36">
        <v>8.84</v>
      </c>
      <c r="H96" s="36" t="s">
        <v>12</v>
      </c>
      <c r="I96" s="2" t="s">
        <v>13</v>
      </c>
      <c r="J96" s="2" t="s">
        <v>14</v>
      </c>
      <c r="K96" s="36" t="s">
        <v>15</v>
      </c>
      <c r="L96" s="6">
        <v>5.7</v>
      </c>
    </row>
    <row r="97" spans="1:12">
      <c r="A97" s="36">
        <v>94</v>
      </c>
      <c r="B97" s="37">
        <v>45236</v>
      </c>
      <c r="C97" s="38">
        <v>50</v>
      </c>
      <c r="D97" s="39">
        <f>E98-E97</f>
        <v>144</v>
      </c>
      <c r="E97" s="36">
        <v>125931</v>
      </c>
      <c r="F97" s="36">
        <v>3.39</v>
      </c>
      <c r="G97" s="36">
        <v>14.74</v>
      </c>
      <c r="H97" s="36" t="s">
        <v>12</v>
      </c>
      <c r="I97" s="2" t="s">
        <v>13</v>
      </c>
      <c r="J97" s="2" t="s">
        <v>14</v>
      </c>
      <c r="K97" s="36" t="s">
        <v>15</v>
      </c>
      <c r="L97" s="6">
        <v>0</v>
      </c>
    </row>
    <row r="98" spans="1:12">
      <c r="A98" s="36">
        <v>95</v>
      </c>
      <c r="B98" s="37">
        <v>45241</v>
      </c>
      <c r="C98" s="38"/>
      <c r="D98" s="39">
        <f>E99-E98</f>
        <v>346</v>
      </c>
      <c r="E98" s="36">
        <v>126075</v>
      </c>
      <c r="F98" s="36">
        <v>3.39</v>
      </c>
      <c r="G98" s="36"/>
      <c r="H98" s="36" t="s">
        <v>12</v>
      </c>
      <c r="I98" s="2" t="s">
        <v>13</v>
      </c>
      <c r="J98" s="2" t="s">
        <v>14</v>
      </c>
      <c r="K98" s="36" t="s">
        <v>15</v>
      </c>
      <c r="L98" s="6">
        <v>0</v>
      </c>
    </row>
    <row r="99" spans="1:12">
      <c r="A99" s="36">
        <v>96</v>
      </c>
      <c r="B99" s="37">
        <v>45247</v>
      </c>
      <c r="C99" s="38">
        <v>50</v>
      </c>
      <c r="D99" s="39">
        <f>E100-E99</f>
        <v>108</v>
      </c>
      <c r="E99" s="36">
        <v>126421</v>
      </c>
      <c r="F99" s="36">
        <v>3.39</v>
      </c>
      <c r="G99" s="36">
        <v>14.74</v>
      </c>
      <c r="H99" s="36" t="s">
        <v>12</v>
      </c>
      <c r="I99" s="2" t="s">
        <v>13</v>
      </c>
      <c r="J99" s="2" t="s">
        <v>14</v>
      </c>
      <c r="K99" s="36" t="s">
        <v>15</v>
      </c>
      <c r="L99" s="6">
        <v>1</v>
      </c>
    </row>
    <row r="100" spans="1:12">
      <c r="A100" s="36">
        <v>97</v>
      </c>
      <c r="B100" s="37">
        <v>45251</v>
      </c>
      <c r="C100" s="38">
        <v>30</v>
      </c>
      <c r="D100" s="39">
        <f>E101-E100</f>
        <v>32</v>
      </c>
      <c r="E100" s="36">
        <v>126529</v>
      </c>
      <c r="F100" s="36">
        <v>3.39</v>
      </c>
      <c r="G100" s="36">
        <v>8.84</v>
      </c>
      <c r="H100" s="36" t="s">
        <v>12</v>
      </c>
      <c r="I100" s="2" t="s">
        <v>13</v>
      </c>
      <c r="J100" s="2" t="s">
        <v>14</v>
      </c>
      <c r="K100" s="36" t="s">
        <v>15</v>
      </c>
      <c r="L100" s="6">
        <v>9.3000000000000007</v>
      </c>
    </row>
    <row r="101" spans="1:12">
      <c r="A101" s="42">
        <v>98</v>
      </c>
      <c r="B101" s="43">
        <v>45255</v>
      </c>
      <c r="C101" s="44">
        <v>50</v>
      </c>
      <c r="D101" s="45">
        <f>E102-E101</f>
        <v>144</v>
      </c>
      <c r="E101" s="42">
        <v>126561</v>
      </c>
      <c r="F101" s="42">
        <v>3.39</v>
      </c>
      <c r="G101" s="42">
        <v>14.74</v>
      </c>
      <c r="H101" s="42" t="s">
        <v>12</v>
      </c>
      <c r="I101" s="15" t="s">
        <v>13</v>
      </c>
      <c r="J101" s="15" t="s">
        <v>14</v>
      </c>
      <c r="K101" s="42" t="s">
        <v>15</v>
      </c>
      <c r="L101" s="16">
        <v>-10</v>
      </c>
    </row>
    <row r="102" spans="1:12">
      <c r="A102" s="17">
        <v>99</v>
      </c>
      <c r="B102" s="37">
        <v>45258</v>
      </c>
      <c r="C102" s="38">
        <v>30</v>
      </c>
      <c r="D102" s="39">
        <f>E103-E102</f>
        <v>0</v>
      </c>
      <c r="E102" s="36">
        <v>126705</v>
      </c>
      <c r="F102" s="36">
        <v>3.19</v>
      </c>
      <c r="G102" s="36">
        <v>9.4</v>
      </c>
      <c r="H102" s="36" t="s">
        <v>12</v>
      </c>
      <c r="I102" s="42" t="s">
        <v>51</v>
      </c>
      <c r="J102" s="42" t="s">
        <v>14</v>
      </c>
      <c r="K102" s="11" t="s">
        <v>55</v>
      </c>
      <c r="L102" s="6">
        <v>6.2</v>
      </c>
    </row>
    <row r="103" spans="1:12">
      <c r="A103" s="17">
        <v>100</v>
      </c>
      <c r="B103" s="37">
        <v>45262</v>
      </c>
      <c r="C103" s="38">
        <v>50</v>
      </c>
      <c r="D103" s="39">
        <f>E104-E103</f>
        <v>112</v>
      </c>
      <c r="E103" s="36">
        <v>126705</v>
      </c>
      <c r="F103" s="36">
        <v>3.39</v>
      </c>
      <c r="G103" s="36">
        <v>14.74</v>
      </c>
      <c r="H103" s="40" t="s">
        <v>12</v>
      </c>
      <c r="I103" s="36" t="s">
        <v>60</v>
      </c>
      <c r="J103" s="36" t="s">
        <v>25</v>
      </c>
      <c r="K103" s="10" t="s">
        <v>36</v>
      </c>
      <c r="L103" s="18">
        <v>5.2</v>
      </c>
    </row>
    <row r="104" spans="1:12">
      <c r="A104" s="17">
        <v>101</v>
      </c>
      <c r="B104" s="37">
        <v>45263</v>
      </c>
      <c r="C104" s="38">
        <v>130</v>
      </c>
      <c r="D104" s="39">
        <f>E105-E104</f>
        <v>183</v>
      </c>
      <c r="E104" s="36">
        <v>126817</v>
      </c>
      <c r="F104" s="36">
        <v>5.29</v>
      </c>
      <c r="G104" s="36">
        <v>24.19</v>
      </c>
      <c r="H104" s="40" t="s">
        <v>16</v>
      </c>
      <c r="I104" s="2" t="s">
        <v>13</v>
      </c>
      <c r="J104" s="2" t="s">
        <v>14</v>
      </c>
      <c r="K104" s="36" t="s">
        <v>15</v>
      </c>
      <c r="L104" s="18">
        <v>-20</v>
      </c>
    </row>
    <row r="105" spans="1:12">
      <c r="A105" s="17">
        <v>102</v>
      </c>
      <c r="B105" s="37">
        <v>45268</v>
      </c>
      <c r="C105" s="38">
        <v>131.16999999999999</v>
      </c>
      <c r="D105" s="39">
        <f>E106-E105</f>
        <v>398</v>
      </c>
      <c r="E105" s="36">
        <v>127000</v>
      </c>
      <c r="F105" s="36">
        <v>3.29</v>
      </c>
      <c r="G105" s="36">
        <v>39.86</v>
      </c>
      <c r="H105" s="40" t="s">
        <v>12</v>
      </c>
      <c r="I105" s="2" t="s">
        <v>13</v>
      </c>
      <c r="J105" s="2" t="s">
        <v>14</v>
      </c>
      <c r="K105" s="36" t="s">
        <v>15</v>
      </c>
      <c r="L105" s="18">
        <v>-10.119999999999999</v>
      </c>
    </row>
    <row r="106" spans="1:12">
      <c r="A106" s="17">
        <v>103</v>
      </c>
      <c r="B106" s="37">
        <v>45274</v>
      </c>
      <c r="C106" s="38">
        <v>40</v>
      </c>
      <c r="D106" s="39">
        <f>E107-E106</f>
        <v>18</v>
      </c>
      <c r="E106" s="36">
        <v>127398</v>
      </c>
      <c r="F106" s="36">
        <v>3.29</v>
      </c>
      <c r="G106" s="36">
        <v>12.15</v>
      </c>
      <c r="H106" s="40" t="s">
        <v>12</v>
      </c>
      <c r="I106" s="2" t="s">
        <v>13</v>
      </c>
      <c r="J106" s="2" t="s">
        <v>14</v>
      </c>
      <c r="K106" s="36" t="s">
        <v>15</v>
      </c>
      <c r="L106" s="18">
        <v>0</v>
      </c>
    </row>
    <row r="107" spans="1:12">
      <c r="A107" s="17">
        <v>104</v>
      </c>
      <c r="B107" s="37">
        <v>45280</v>
      </c>
      <c r="C107" s="38">
        <v>30</v>
      </c>
      <c r="D107" s="39">
        <f>E108-E107</f>
        <v>38</v>
      </c>
      <c r="E107" s="36">
        <v>127416</v>
      </c>
      <c r="F107" s="36">
        <v>3.29</v>
      </c>
      <c r="G107" s="36">
        <v>9.11</v>
      </c>
      <c r="H107" s="40" t="s">
        <v>12</v>
      </c>
      <c r="I107" s="2" t="s">
        <v>45</v>
      </c>
      <c r="J107" s="2" t="s">
        <v>14</v>
      </c>
      <c r="K107" s="36" t="s">
        <v>15</v>
      </c>
      <c r="L107" s="18">
        <v>1.9</v>
      </c>
    </row>
    <row r="108" spans="1:12">
      <c r="A108" s="17">
        <v>105</v>
      </c>
      <c r="B108" s="37">
        <v>45282</v>
      </c>
      <c r="C108" s="38">
        <v>30</v>
      </c>
      <c r="D108" s="39"/>
      <c r="E108" s="36">
        <v>127454</v>
      </c>
      <c r="F108" s="36">
        <v>3.29</v>
      </c>
      <c r="G108" s="36">
        <v>9.11</v>
      </c>
      <c r="H108" s="40" t="s">
        <v>12</v>
      </c>
      <c r="I108" s="2" t="s">
        <v>45</v>
      </c>
      <c r="J108" s="2" t="s">
        <v>14</v>
      </c>
      <c r="K108" s="36" t="s">
        <v>15</v>
      </c>
      <c r="L108" s="18">
        <v>1.9</v>
      </c>
    </row>
  </sheetData>
  <autoFilter ref="A1:L64" xr:uid="{309E8D78-9FBA-4293-90BC-5CAD3420CCA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E457-65FE-45A8-A3A9-50F9575EB50C}">
  <dimension ref="A1:M24"/>
  <sheetViews>
    <sheetView tabSelected="1" topLeftCell="A13" workbookViewId="0">
      <selection activeCell="K24" sqref="K24"/>
    </sheetView>
  </sheetViews>
  <sheetFormatPr defaultRowHeight="15"/>
  <cols>
    <col min="1" max="1" width="9.85546875" bestFit="1" customWidth="1"/>
    <col min="2" max="2" width="15" bestFit="1" customWidth="1"/>
    <col min="4" max="4" width="15" customWidth="1"/>
    <col min="5" max="5" width="11.28515625" customWidth="1"/>
    <col min="7" max="7" width="11.42578125" bestFit="1" customWidth="1"/>
    <col min="8" max="8" width="18" bestFit="1" customWidth="1"/>
    <col min="9" max="9" width="15" bestFit="1" customWidth="1"/>
    <col min="10" max="10" width="13.28515625" customWidth="1"/>
    <col min="11" max="11" width="19" bestFit="1" customWidth="1"/>
    <col min="12" max="12" width="22.7109375" bestFit="1" customWidth="1"/>
  </cols>
  <sheetData>
    <row r="1" spans="1:13">
      <c r="A1" s="20" t="s">
        <v>61</v>
      </c>
      <c r="B1" s="20" t="s">
        <v>62</v>
      </c>
      <c r="C1" s="20" t="s">
        <v>63</v>
      </c>
      <c r="D1" s="20" t="s">
        <v>64</v>
      </c>
      <c r="E1" s="20" t="s">
        <v>65</v>
      </c>
      <c r="F1" s="20" t="s">
        <v>9</v>
      </c>
      <c r="G1" s="20" t="s">
        <v>1</v>
      </c>
      <c r="H1" s="20" t="s">
        <v>66</v>
      </c>
      <c r="I1" s="20" t="s">
        <v>8</v>
      </c>
      <c r="J1" s="20" t="s">
        <v>67</v>
      </c>
      <c r="K1" s="27" t="s">
        <v>68</v>
      </c>
      <c r="L1" s="27" t="s">
        <v>69</v>
      </c>
      <c r="M1" s="27" t="s">
        <v>70</v>
      </c>
    </row>
    <row r="2" spans="1:13">
      <c r="A2" s="21">
        <v>80.040000000000006</v>
      </c>
      <c r="B2" s="22" t="s">
        <v>71</v>
      </c>
      <c r="C2" s="23">
        <v>3.77</v>
      </c>
      <c r="D2" s="24">
        <f>A2/C2</f>
        <v>21.230769230769234</v>
      </c>
      <c r="E2" s="25">
        <v>105057</v>
      </c>
      <c r="F2" s="22" t="s">
        <v>25</v>
      </c>
      <c r="G2" s="26">
        <v>45520</v>
      </c>
      <c r="H2" s="22" t="s">
        <v>72</v>
      </c>
      <c r="I2" s="22" t="s">
        <v>73</v>
      </c>
      <c r="J2" s="22" t="s">
        <v>74</v>
      </c>
      <c r="K2" s="28">
        <f>E3-E2</f>
        <v>232</v>
      </c>
      <c r="L2" s="30"/>
      <c r="M2" s="29"/>
    </row>
    <row r="3" spans="1:13">
      <c r="A3" s="21">
        <v>82.8</v>
      </c>
      <c r="B3" s="22" t="s">
        <v>75</v>
      </c>
      <c r="C3" s="23">
        <v>3.69</v>
      </c>
      <c r="D3" s="24">
        <f t="shared" ref="D3:D24" si="0">A3/C3</f>
        <v>22.439024390243901</v>
      </c>
      <c r="E3" s="25">
        <v>105289</v>
      </c>
      <c r="F3" s="22" t="s">
        <v>76</v>
      </c>
      <c r="G3" s="26">
        <v>45522</v>
      </c>
      <c r="H3" s="22" t="s">
        <v>77</v>
      </c>
      <c r="I3" s="22" t="s">
        <v>78</v>
      </c>
      <c r="J3" s="22" t="s">
        <v>74</v>
      </c>
      <c r="K3" s="28">
        <f>E4-E3</f>
        <v>354</v>
      </c>
      <c r="L3" s="30"/>
      <c r="M3" s="29"/>
    </row>
    <row r="4" spans="1:13">
      <c r="A4" s="21">
        <v>150</v>
      </c>
      <c r="B4" s="22" t="s">
        <v>71</v>
      </c>
      <c r="C4" s="23">
        <v>6.19</v>
      </c>
      <c r="D4" s="24">
        <f t="shared" si="0"/>
        <v>24.232633279483036</v>
      </c>
      <c r="E4" s="25">
        <v>105643</v>
      </c>
      <c r="F4" s="22" t="s">
        <v>25</v>
      </c>
      <c r="G4" s="26">
        <v>45522</v>
      </c>
      <c r="H4" s="22" t="s">
        <v>79</v>
      </c>
      <c r="I4" s="22" t="s">
        <v>80</v>
      </c>
      <c r="J4" s="22" t="s">
        <v>81</v>
      </c>
      <c r="K4" s="28">
        <f>E5-E4</f>
        <v>257</v>
      </c>
      <c r="M4" s="29"/>
    </row>
    <row r="5" spans="1:13">
      <c r="A5" s="21">
        <v>50</v>
      </c>
      <c r="B5" s="22" t="s">
        <v>75</v>
      </c>
      <c r="C5" s="23">
        <v>4.3899999999999997</v>
      </c>
      <c r="D5" s="24">
        <f t="shared" si="0"/>
        <v>11.389521640091116</v>
      </c>
      <c r="E5" s="25">
        <v>105900</v>
      </c>
      <c r="F5" s="22" t="s">
        <v>17</v>
      </c>
      <c r="G5" s="26">
        <v>45529</v>
      </c>
      <c r="H5" s="22" t="s">
        <v>82</v>
      </c>
      <c r="I5" s="22" t="s">
        <v>83</v>
      </c>
      <c r="J5" s="22" t="s">
        <v>81</v>
      </c>
      <c r="K5" s="28">
        <f>E6-E5</f>
        <v>81</v>
      </c>
      <c r="L5" s="30"/>
      <c r="M5" s="29"/>
    </row>
    <row r="6" spans="1:13">
      <c r="A6" s="21">
        <v>80</v>
      </c>
      <c r="B6" s="22" t="s">
        <v>75</v>
      </c>
      <c r="C6" s="23">
        <v>4.3899999999999997</v>
      </c>
      <c r="D6" s="24">
        <f t="shared" si="0"/>
        <v>18.223234624145785</v>
      </c>
      <c r="E6" s="25">
        <v>105981</v>
      </c>
      <c r="F6" s="22" t="s">
        <v>17</v>
      </c>
      <c r="G6" s="26">
        <v>45533</v>
      </c>
      <c r="H6" s="22" t="s">
        <v>82</v>
      </c>
      <c r="I6" s="22" t="s">
        <v>84</v>
      </c>
      <c r="J6" s="22" t="s">
        <v>81</v>
      </c>
      <c r="K6" s="28">
        <f>E7-E6</f>
        <v>122</v>
      </c>
      <c r="L6" s="30"/>
      <c r="M6" s="29"/>
    </row>
    <row r="7" spans="1:13">
      <c r="A7" s="21">
        <v>50</v>
      </c>
      <c r="B7" s="22" t="s">
        <v>75</v>
      </c>
      <c r="C7" s="23">
        <v>4.3899999999999997</v>
      </c>
      <c r="D7" s="24">
        <f t="shared" si="0"/>
        <v>11.389521640091116</v>
      </c>
      <c r="E7" s="25">
        <v>106103</v>
      </c>
      <c r="F7" s="22" t="s">
        <v>17</v>
      </c>
      <c r="G7" s="26">
        <v>45538</v>
      </c>
      <c r="H7" s="22" t="s">
        <v>82</v>
      </c>
      <c r="I7" s="22" t="s">
        <v>85</v>
      </c>
      <c r="J7" s="22" t="s">
        <v>81</v>
      </c>
      <c r="K7" s="28">
        <f>E8-E7</f>
        <v>73</v>
      </c>
      <c r="L7" s="30"/>
      <c r="M7" s="29"/>
    </row>
    <row r="8" spans="1:13">
      <c r="A8" s="21">
        <v>100</v>
      </c>
      <c r="B8" s="22" t="s">
        <v>75</v>
      </c>
      <c r="C8" s="23">
        <v>4.3899999999999997</v>
      </c>
      <c r="D8" s="24">
        <f t="shared" si="0"/>
        <v>22.779043280182233</v>
      </c>
      <c r="E8" s="25">
        <v>106176</v>
      </c>
      <c r="F8" s="22" t="s">
        <v>17</v>
      </c>
      <c r="G8" s="26">
        <v>45543</v>
      </c>
      <c r="H8" s="22" t="s">
        <v>82</v>
      </c>
      <c r="I8" s="22" t="s">
        <v>84</v>
      </c>
      <c r="J8" s="22" t="s">
        <v>81</v>
      </c>
      <c r="K8" s="28">
        <f>E9-E8</f>
        <v>93</v>
      </c>
      <c r="L8" s="30"/>
      <c r="M8" s="29"/>
    </row>
    <row r="9" spans="1:13">
      <c r="A9" s="21">
        <v>135.99</v>
      </c>
      <c r="B9" s="22" t="s">
        <v>75</v>
      </c>
      <c r="C9" s="23">
        <v>3.95</v>
      </c>
      <c r="D9" s="24">
        <f t="shared" si="0"/>
        <v>34.427848101265823</v>
      </c>
      <c r="E9" s="25">
        <v>106269</v>
      </c>
      <c r="F9" s="22" t="s">
        <v>25</v>
      </c>
      <c r="G9" s="26">
        <v>45543</v>
      </c>
      <c r="H9" s="22" t="s">
        <v>86</v>
      </c>
      <c r="I9" s="22" t="s">
        <v>87</v>
      </c>
      <c r="J9" s="22" t="s">
        <v>74</v>
      </c>
      <c r="K9" s="28">
        <f>E10-E9</f>
        <v>264</v>
      </c>
      <c r="L9" s="30"/>
      <c r="M9" s="29"/>
    </row>
    <row r="10" spans="1:13">
      <c r="A10" s="21">
        <v>150.11000000000001</v>
      </c>
      <c r="B10" s="22" t="s">
        <v>75</v>
      </c>
      <c r="C10" s="23">
        <v>3.95</v>
      </c>
      <c r="D10" s="24">
        <f t="shared" si="0"/>
        <v>38.002531645569618</v>
      </c>
      <c r="E10" s="25">
        <v>106533</v>
      </c>
      <c r="F10" s="22" t="s">
        <v>25</v>
      </c>
      <c r="G10" s="26">
        <v>45556</v>
      </c>
      <c r="H10" s="22" t="s">
        <v>86</v>
      </c>
      <c r="I10" s="22" t="s">
        <v>87</v>
      </c>
      <c r="J10" s="22" t="s">
        <v>74</v>
      </c>
      <c r="K10" s="28">
        <f>E11-E10</f>
        <v>278</v>
      </c>
      <c r="L10" s="30"/>
      <c r="M10" s="29"/>
    </row>
    <row r="11" spans="1:13">
      <c r="A11" s="21">
        <v>150</v>
      </c>
      <c r="B11" s="22" t="s">
        <v>75</v>
      </c>
      <c r="C11" s="23">
        <v>4.84</v>
      </c>
      <c r="D11" s="24">
        <f t="shared" si="0"/>
        <v>30.991735537190085</v>
      </c>
      <c r="E11" s="25">
        <v>106811</v>
      </c>
      <c r="F11" s="22" t="s">
        <v>17</v>
      </c>
      <c r="G11" s="26">
        <v>45564</v>
      </c>
      <c r="H11" s="22" t="s">
        <v>82</v>
      </c>
      <c r="I11" s="22" t="s">
        <v>84</v>
      </c>
      <c r="J11" s="22" t="s">
        <v>81</v>
      </c>
      <c r="K11" s="28">
        <f>E12-E11</f>
        <v>175</v>
      </c>
      <c r="L11" s="30"/>
      <c r="M11" s="29"/>
    </row>
    <row r="12" spans="1:13">
      <c r="A12" s="21">
        <v>50</v>
      </c>
      <c r="B12" s="22" t="s">
        <v>75</v>
      </c>
      <c r="C12" s="23">
        <v>4.37</v>
      </c>
      <c r="D12" s="24">
        <f t="shared" si="0"/>
        <v>11.441647597254004</v>
      </c>
      <c r="E12" s="25">
        <v>106986</v>
      </c>
      <c r="F12" s="22" t="s">
        <v>17</v>
      </c>
      <c r="G12" s="26">
        <v>45571</v>
      </c>
      <c r="H12" s="22" t="s">
        <v>82</v>
      </c>
      <c r="I12" s="22" t="s">
        <v>83</v>
      </c>
      <c r="J12" s="22" t="s">
        <v>81</v>
      </c>
      <c r="K12" s="28">
        <f>E13-E12</f>
        <v>121</v>
      </c>
      <c r="L12" s="30"/>
      <c r="M12" s="29"/>
    </row>
    <row r="13" spans="1:13">
      <c r="A13" s="21">
        <v>150</v>
      </c>
      <c r="B13" s="22" t="s">
        <v>75</v>
      </c>
      <c r="C13" s="23">
        <v>4.37</v>
      </c>
      <c r="D13" s="24">
        <f t="shared" si="0"/>
        <v>34.324942791762012</v>
      </c>
      <c r="E13" s="25">
        <v>107107</v>
      </c>
      <c r="F13" s="22" t="s">
        <v>17</v>
      </c>
      <c r="G13" s="26">
        <v>45572</v>
      </c>
      <c r="H13" s="22" t="s">
        <v>82</v>
      </c>
      <c r="I13" s="22" t="s">
        <v>83</v>
      </c>
      <c r="J13" s="22" t="s">
        <v>81</v>
      </c>
      <c r="K13" s="28">
        <f>E14-E13</f>
        <v>206</v>
      </c>
      <c r="L13" s="30"/>
      <c r="M13" s="29"/>
    </row>
    <row r="14" spans="1:13">
      <c r="A14" s="21">
        <v>50</v>
      </c>
      <c r="B14" s="22" t="s">
        <v>75</v>
      </c>
      <c r="C14" s="23">
        <v>4.37</v>
      </c>
      <c r="D14" s="24">
        <f t="shared" si="0"/>
        <v>11.441647597254004</v>
      </c>
      <c r="E14" s="25">
        <v>107313</v>
      </c>
      <c r="F14" s="22" t="s">
        <v>14</v>
      </c>
      <c r="G14" s="26">
        <v>45580</v>
      </c>
      <c r="H14" s="22" t="s">
        <v>88</v>
      </c>
      <c r="I14" s="22" t="s">
        <v>89</v>
      </c>
      <c r="J14" s="22" t="s">
        <v>81</v>
      </c>
      <c r="K14" s="28">
        <f>E15-E14</f>
        <v>64</v>
      </c>
      <c r="L14" s="30"/>
      <c r="M14" s="29"/>
    </row>
    <row r="15" spans="1:13">
      <c r="A15" s="21">
        <v>50</v>
      </c>
      <c r="B15" s="22" t="s">
        <v>75</v>
      </c>
      <c r="C15" s="23">
        <v>4.37</v>
      </c>
      <c r="D15" s="24">
        <f t="shared" si="0"/>
        <v>11.441647597254004</v>
      </c>
      <c r="E15" s="25">
        <v>107377</v>
      </c>
      <c r="F15" s="22" t="s">
        <v>17</v>
      </c>
      <c r="G15" s="26">
        <v>45584</v>
      </c>
      <c r="H15" s="22" t="s">
        <v>82</v>
      </c>
      <c r="I15" s="22" t="s">
        <v>84</v>
      </c>
      <c r="J15" s="22" t="s">
        <v>81</v>
      </c>
      <c r="K15" s="28">
        <f>E16-E15</f>
        <v>89</v>
      </c>
      <c r="L15" s="30"/>
      <c r="M15" s="29"/>
    </row>
    <row r="16" spans="1:13">
      <c r="A16" s="21">
        <v>50</v>
      </c>
      <c r="B16" s="22" t="s">
        <v>75</v>
      </c>
      <c r="C16" s="23">
        <v>4.37</v>
      </c>
      <c r="D16" s="24">
        <f t="shared" si="0"/>
        <v>11.441647597254004</v>
      </c>
      <c r="E16" s="25">
        <v>107466</v>
      </c>
      <c r="F16" s="22" t="s">
        <v>17</v>
      </c>
      <c r="G16" s="26">
        <v>45585</v>
      </c>
      <c r="H16" s="22" t="s">
        <v>82</v>
      </c>
      <c r="I16" s="22" t="s">
        <v>83</v>
      </c>
      <c r="J16" s="22" t="s">
        <v>81</v>
      </c>
      <c r="K16" s="28">
        <f>E17-E16</f>
        <v>66</v>
      </c>
      <c r="L16" s="30"/>
      <c r="M16" s="29"/>
    </row>
    <row r="17" spans="1:13">
      <c r="A17" s="21">
        <v>100</v>
      </c>
      <c r="B17" s="22" t="s">
        <v>75</v>
      </c>
      <c r="C17" s="23">
        <v>4.37</v>
      </c>
      <c r="D17" s="24">
        <f t="shared" si="0"/>
        <v>22.883295194508008</v>
      </c>
      <c r="E17" s="25">
        <v>107532</v>
      </c>
      <c r="F17" s="22" t="s">
        <v>17</v>
      </c>
      <c r="G17" s="26">
        <v>45587</v>
      </c>
      <c r="H17" s="22" t="s">
        <v>82</v>
      </c>
      <c r="I17" s="22" t="s">
        <v>83</v>
      </c>
      <c r="J17" s="22" t="s">
        <v>81</v>
      </c>
      <c r="K17" s="28">
        <f>E18-E17</f>
        <v>128</v>
      </c>
      <c r="L17" s="30"/>
      <c r="M17" s="29"/>
    </row>
    <row r="18" spans="1:13">
      <c r="A18" s="21">
        <v>50</v>
      </c>
      <c r="B18" s="22" t="s">
        <v>75</v>
      </c>
      <c r="C18" s="23">
        <v>4.37</v>
      </c>
      <c r="D18" s="24">
        <f t="shared" si="0"/>
        <v>11.441647597254004</v>
      </c>
      <c r="E18" s="25">
        <v>107660</v>
      </c>
      <c r="F18" s="22" t="s">
        <v>17</v>
      </c>
      <c r="G18" s="26">
        <v>45592</v>
      </c>
      <c r="H18" s="22" t="s">
        <v>82</v>
      </c>
      <c r="I18" s="22" t="s">
        <v>84</v>
      </c>
      <c r="J18" s="22" t="s">
        <v>81</v>
      </c>
      <c r="K18" s="28">
        <f>E19-E18</f>
        <v>67</v>
      </c>
      <c r="L18" s="30"/>
      <c r="M18" s="29"/>
    </row>
    <row r="19" spans="1:13">
      <c r="A19" s="21">
        <v>50</v>
      </c>
      <c r="B19" s="22" t="s">
        <v>75</v>
      </c>
      <c r="C19" s="23">
        <v>4.37</v>
      </c>
      <c r="D19" s="24">
        <f t="shared" si="0"/>
        <v>11.441647597254004</v>
      </c>
      <c r="E19" s="25">
        <v>107727</v>
      </c>
      <c r="F19" s="22" t="s">
        <v>17</v>
      </c>
      <c r="G19" s="26">
        <v>45596</v>
      </c>
      <c r="H19" s="22" t="s">
        <v>82</v>
      </c>
      <c r="I19" s="22" t="s">
        <v>83</v>
      </c>
      <c r="J19" s="22" t="s">
        <v>81</v>
      </c>
      <c r="K19" s="28">
        <f>E20-E19</f>
        <v>73</v>
      </c>
      <c r="L19" s="30"/>
      <c r="M19" s="29"/>
    </row>
    <row r="20" spans="1:13">
      <c r="A20" s="21">
        <v>50</v>
      </c>
      <c r="B20" s="22" t="s">
        <v>75</v>
      </c>
      <c r="C20" s="23">
        <v>4.37</v>
      </c>
      <c r="D20" s="24">
        <f t="shared" si="0"/>
        <v>11.441647597254004</v>
      </c>
      <c r="E20" s="25">
        <v>107800</v>
      </c>
      <c r="F20" s="22" t="s">
        <v>17</v>
      </c>
      <c r="G20" s="26">
        <v>45598</v>
      </c>
      <c r="H20" s="22" t="s">
        <v>82</v>
      </c>
      <c r="I20" s="22" t="s">
        <v>83</v>
      </c>
      <c r="J20" s="22" t="s">
        <v>81</v>
      </c>
      <c r="K20" s="28">
        <f>E21-E20</f>
        <v>69</v>
      </c>
      <c r="L20" s="30"/>
      <c r="M20" s="29"/>
    </row>
    <row r="21" spans="1:13">
      <c r="A21" s="21">
        <v>50</v>
      </c>
      <c r="B21" s="22" t="s">
        <v>75</v>
      </c>
      <c r="C21" s="23">
        <v>4.37</v>
      </c>
      <c r="D21" s="24">
        <f t="shared" si="0"/>
        <v>11.441647597254004</v>
      </c>
      <c r="E21" s="25">
        <v>107869</v>
      </c>
      <c r="F21" s="22" t="s">
        <v>17</v>
      </c>
      <c r="G21" s="26">
        <v>45601</v>
      </c>
      <c r="H21" s="22" t="s">
        <v>82</v>
      </c>
      <c r="I21" s="22" t="s">
        <v>83</v>
      </c>
      <c r="J21" s="22" t="s">
        <v>81</v>
      </c>
      <c r="K21" s="28">
        <f>E22-E21</f>
        <v>52</v>
      </c>
      <c r="L21" s="30"/>
      <c r="M21" s="29"/>
    </row>
    <row r="22" spans="1:13">
      <c r="A22" s="21">
        <v>50</v>
      </c>
      <c r="B22" s="22" t="s">
        <v>75</v>
      </c>
      <c r="C22" s="23">
        <v>4.37</v>
      </c>
      <c r="D22" s="24">
        <f t="shared" si="0"/>
        <v>11.441647597254004</v>
      </c>
      <c r="E22" s="25">
        <v>107921</v>
      </c>
      <c r="F22" s="22" t="s">
        <v>17</v>
      </c>
      <c r="G22" s="26">
        <v>45605</v>
      </c>
      <c r="H22" s="22" t="s">
        <v>82</v>
      </c>
      <c r="I22" s="22" t="s">
        <v>84</v>
      </c>
      <c r="J22" s="22" t="s">
        <v>81</v>
      </c>
      <c r="K22" s="28">
        <f>E23-E22</f>
        <v>63</v>
      </c>
      <c r="L22" s="30"/>
      <c r="M22" s="29"/>
    </row>
    <row r="23" spans="1:13">
      <c r="A23" s="21">
        <v>50</v>
      </c>
      <c r="B23" s="22" t="s">
        <v>75</v>
      </c>
      <c r="C23" s="23">
        <v>4.37</v>
      </c>
      <c r="D23" s="24">
        <f t="shared" si="0"/>
        <v>11.441647597254004</v>
      </c>
      <c r="E23" s="25">
        <v>107984</v>
      </c>
      <c r="F23" s="22" t="s">
        <v>17</v>
      </c>
      <c r="G23" s="26">
        <v>45606</v>
      </c>
      <c r="H23" s="22" t="s">
        <v>82</v>
      </c>
      <c r="I23" s="22" t="s">
        <v>84</v>
      </c>
      <c r="J23" s="22" t="s">
        <v>81</v>
      </c>
      <c r="K23" s="28">
        <f>E24-E23</f>
        <v>95</v>
      </c>
      <c r="L23" s="30"/>
      <c r="M23" s="29"/>
    </row>
    <row r="24" spans="1:13">
      <c r="A24" s="35">
        <v>50</v>
      </c>
      <c r="B24" s="32" t="s">
        <v>75</v>
      </c>
      <c r="C24" s="32">
        <v>4.37</v>
      </c>
      <c r="D24" s="33">
        <f t="shared" si="0"/>
        <v>11.441647597254004</v>
      </c>
      <c r="E24" s="32">
        <v>108079</v>
      </c>
      <c r="F24" s="32" t="s">
        <v>17</v>
      </c>
      <c r="G24" s="34">
        <v>45609</v>
      </c>
      <c r="H24" s="32" t="s">
        <v>82</v>
      </c>
      <c r="I24" s="32" t="s">
        <v>84</v>
      </c>
      <c r="J24" s="32" t="s">
        <v>81</v>
      </c>
      <c r="K24" s="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2023-03-29T13:45:31Z</dcterms:created>
  <dcterms:modified xsi:type="dcterms:W3CDTF">2024-11-14T15:03:16Z</dcterms:modified>
  <cp:category/>
  <cp:contentStatus/>
</cp:coreProperties>
</file>